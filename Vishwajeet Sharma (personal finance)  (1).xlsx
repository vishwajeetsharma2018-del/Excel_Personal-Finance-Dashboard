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E:\Download\"/>
    </mc:Choice>
  </mc:AlternateContent>
  <xr:revisionPtr revIDLastSave="0" documentId="13_ncr:1_{BA1D6CDB-7BBC-42C7-9EFF-38C9D4693436}" xr6:coauthVersionLast="47" xr6:coauthVersionMax="47" xr10:uidLastSave="{00000000-0000-0000-0000-000000000000}"/>
  <bookViews>
    <workbookView xWindow="-120" yWindow="-120" windowWidth="20730" windowHeight="11760" activeTab="2" xr2:uid="{00000000-000D-0000-FFFF-FFFF00000000}"/>
  </bookViews>
  <sheets>
    <sheet name="Finance Data" sheetId="1" r:id="rId1"/>
    <sheet name="Pivot Table " sheetId="2" r:id="rId2"/>
    <sheet name="Dashboard" sheetId="3" r:id="rId3"/>
  </sheets>
  <definedNames>
    <definedName name="Slicer_Category">#N/A</definedName>
    <definedName name="Slicer_Description">#N/A</definedName>
    <definedName name="Slicer_Expense">#N/A</definedName>
    <definedName name="Slicer_Months__Date">#N/A</definedName>
    <definedName name="Slicer_payment_Method">#N/A</definedName>
  </definedNames>
  <calcPr calcId="12451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<sst xmlns="http://schemas.openxmlformats.org/spreadsheetml/2006/main" count="1096" uniqueCount="75">
  <si>
    <t>Date</t>
  </si>
  <si>
    <t>Category</t>
  </si>
  <si>
    <t>Description</t>
  </si>
  <si>
    <t>Income</t>
  </si>
  <si>
    <t>Expense</t>
  </si>
  <si>
    <t>Balance</t>
  </si>
  <si>
    <t>Gift</t>
  </si>
  <si>
    <t>Miscellaneous</t>
  </si>
  <si>
    <t>Shopping</t>
  </si>
  <si>
    <t>Entertainment</t>
  </si>
  <si>
    <t>Bills &amp; Recharge</t>
  </si>
  <si>
    <t>Business Income</t>
  </si>
  <si>
    <t>Investment</t>
  </si>
  <si>
    <t>Groceries</t>
  </si>
  <si>
    <t>Travel</t>
  </si>
  <si>
    <t>Education</t>
  </si>
  <si>
    <t>Transport</t>
  </si>
  <si>
    <t>Freelance</t>
  </si>
  <si>
    <t>Utilities</t>
  </si>
  <si>
    <t>Savings</t>
  </si>
  <si>
    <t>Health &amp; Medical</t>
  </si>
  <si>
    <t>Rent</t>
  </si>
  <si>
    <t>Salary</t>
  </si>
  <si>
    <t>Food &amp; Dining</t>
  </si>
  <si>
    <t>House Rent Payment</t>
  </si>
  <si>
    <t>Mobile Recharge</t>
  </si>
  <si>
    <t>Gym Membership</t>
  </si>
  <si>
    <t>Movie Ticket</t>
  </si>
  <si>
    <t>Miscellaneous Expense</t>
  </si>
  <si>
    <t>Bus Ticket</t>
  </si>
  <si>
    <t>Grocery Shopping</t>
  </si>
  <si>
    <t>Electricity Bill</t>
  </si>
  <si>
    <t>Birthday Gift</t>
  </si>
  <si>
    <t>Fixed Deposit</t>
  </si>
  <si>
    <t>Business Profit</t>
  </si>
  <si>
    <t>Train Ticket</t>
  </si>
  <si>
    <t>Monthly Salary</t>
  </si>
  <si>
    <t>Online Shopping Order</t>
  </si>
  <si>
    <t>Stock Investment</t>
  </si>
  <si>
    <t>Clothes Shopping</t>
  </si>
  <si>
    <t>Freelance Project Payment</t>
  </si>
  <si>
    <t>Dinner at Restaurant</t>
  </si>
  <si>
    <t>Doctor Consultation</t>
  </si>
  <si>
    <t>Tuition Fees</t>
  </si>
  <si>
    <t>Row Labels</t>
  </si>
  <si>
    <t>Grand Total</t>
  </si>
  <si>
    <t>Sum of Expense</t>
  </si>
  <si>
    <t>Sum of Income</t>
  </si>
  <si>
    <t>Jan</t>
  </si>
  <si>
    <t>Feb</t>
  </si>
  <si>
    <t>Mar</t>
  </si>
  <si>
    <t>Apr</t>
  </si>
  <si>
    <t>May</t>
  </si>
  <si>
    <t>Jun</t>
  </si>
  <si>
    <t>Jul</t>
  </si>
  <si>
    <t>payment Method</t>
  </si>
  <si>
    <t>Account/Source</t>
  </si>
  <si>
    <t>Type</t>
  </si>
  <si>
    <t>cash</t>
  </si>
  <si>
    <t>upi</t>
  </si>
  <si>
    <t>debit card</t>
  </si>
  <si>
    <t xml:space="preserve">credit card </t>
  </si>
  <si>
    <t>net banking</t>
  </si>
  <si>
    <t>Need</t>
  </si>
  <si>
    <t>Want</t>
  </si>
  <si>
    <t>Salary Account</t>
  </si>
  <si>
    <t xml:space="preserve">Business Account </t>
  </si>
  <si>
    <t>Saving Accounts</t>
  </si>
  <si>
    <t>Credit card</t>
  </si>
  <si>
    <t>Paytm Wallet</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</si>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</sst>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00"/>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tint="0.39997558519241921"/>
        <bgColor indexed="65"/>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1" fillId="2" borderId="0" applyNumberFormat="0" applyBorder="0" applyAlignment="0" applyProtection="0"/>
  </cellStyleXfs>
  <cellXfs count="8">
    <xf numFmtId="0" fontId="0" fillId="0" borderId="0" xfId="0"/>
    <xf numFmtId="164" fontId="0" fillId="0" borderId="0" xfId="0" applyNumberFormat="1" applyAlignment="1">
      <alignment horizontal="left"/>
    </xf>
    <xf numFmtId="0" fontId="0" fillId="0" borderId="0" xfId="0" applyAlignment="1">
      <alignment horizontal="left"/>
    </xf>
    <xf numFmtId="165" fontId="0" fillId="0" borderId="0" xfId="0" applyNumberFormat="1"/>
    <xf numFmtId="0" fontId="0" fillId="0" borderId="0" xfId="0" pivotButton="1"/>
    <xf numFmtId="0" fontId="1" fillId="2" borderId="1" xfId="1" applyBorder="1" applyAlignment="1">
      <alignment horizontal="left" vertical="top"/>
    </xf>
    <xf numFmtId="0" fontId="1" fillId="2" borderId="1" xfId="1" applyBorder="1" applyAlignment="1">
      <alignment horizontal="center" vertical="top"/>
    </xf>
    <xf numFmtId="165" fontId="1" fillId="2" borderId="1" xfId="1" applyNumberFormat="1" applyBorder="1" applyAlignment="1">
      <alignment horizontal="center" vertical="top"/>
    </xf>
  </cellXfs>
  <cellStyles count="2">
    <cellStyle name="60% - Accent1" xfId="1" builtinId="32"/>
    <cellStyle name="Normal" xfId="0" builtinId="0"/>
  </cellStyles>
  <dxfs count="9">
    <dxf>
      <numFmt numFmtId="165" formatCode="&quot;₹&quot;\ #,##0.00"/>
    </dxf>
    <dxf>
      <numFmt numFmtId="165" formatCode="&quot;₹&quot;\ #,##0.00"/>
    </dxf>
    <dxf>
      <numFmt numFmtId="165" formatCode="&quot;₹&quot;\ #,##0.00"/>
    </dxf>
    <dxf>
      <numFmt numFmtId="165" formatCode="&quot;₹&quot;\ #,##0.00"/>
    </dxf>
    <dxf>
      <numFmt numFmtId="165" formatCode="&quot;₹&quot;\ #,##0.00"/>
    </dxf>
    <dxf>
      <numFmt numFmtId="164" formatCode="yyyy\-mm\-dd"/>
      <alignment horizontal="left" vertical="bottom" textRotation="0" wrapText="0" indent="0" justifyLastLine="0" shrinkToFit="0" readingOrder="0"/>
    </dxf>
    <dxf>
      <border outline="0">
        <top style="thin">
          <color auto="1"/>
        </top>
      </border>
    </dxf>
    <dxf>
      <border outline="0">
        <bottom style="thin">
          <color auto="1"/>
        </bottom>
      </border>
    </dxf>
    <dxf>
      <numFmt numFmtId="165" formatCode="&quot;₹&quot;\ #,##0.00"/>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2.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[Vishwajeet Sharma (personal finance)  (1).xlsx]Pivot Table !PivotTable1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 In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025015634771732E-2"/>
          <c:y val="0.20520055325034581"/>
          <c:w val="0.94496560350218883"/>
          <c:h val="0.66645495039261171"/>
        </c:manualLayout>
      </c:layout>
      <c:barChart>
        <c:barDir val="col"/>
        <c:grouping val="clustered"/>
        <c:varyColors val="0"/>
        <c:ser>
          <c:idx val="0"/>
          <c:order val="0"/>
          <c:tx>
            <c:strRef>
              <c:f>'Pivot Table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'!$B$4:$B$16</c:f>
              <c:numCache>
                <c:formatCode>"₹"\ #,##0.00</c:formatCode>
                <c:ptCount val="12"/>
                <c:pt idx="0">
                  <c:v>305333</c:v>
                </c:pt>
                <c:pt idx="1">
                  <c:v>100960</c:v>
                </c:pt>
                <c:pt idx="2">
                  <c:v>149056</c:v>
                </c:pt>
                <c:pt idx="3">
                  <c:v>386029</c:v>
                </c:pt>
                <c:pt idx="4">
                  <c:v>296498</c:v>
                </c:pt>
                <c:pt idx="5">
                  <c:v>216511</c:v>
                </c:pt>
                <c:pt idx="6">
                  <c:v>287459</c:v>
                </c:pt>
                <c:pt idx="7">
                  <c:v>80413</c:v>
                </c:pt>
                <c:pt idx="8">
                  <c:v>126872</c:v>
                </c:pt>
                <c:pt idx="9">
                  <c:v>209310</c:v>
                </c:pt>
                <c:pt idx="10">
                  <c:v>202105</c:v>
                </c:pt>
                <c:pt idx="11">
                  <c:v>96923</c:v>
                </c:pt>
              </c:numCache>
            </c:numRef>
          </c:val>
          <c:extLst>
            <c:ext xmlns:c16="http://schemas.microsoft.com/office/drawing/2014/chart" uri="{C3380CC4-5D6E-409C-BE32-E72D297353CC}">
              <c16:uniqueId val="{00000000-6155-4642-8DB4-C27B68882921}"/>
            </c:ext>
          </c:extLst>
        </c:ser>
        <c:dLbls>
          <c:dLblPos val="outEnd"/>
          <c:showLegendKey val="0"/>
          <c:showVal val="1"/>
          <c:showCatName val="0"/>
          <c:showSerName val="0"/>
          <c:showPercent val="0"/>
          <c:showBubbleSize val="0"/>
        </c:dLbls>
        <c:gapWidth val="219"/>
        <c:overlap val="-27"/>
        <c:axId val="1543155216"/>
        <c:axId val="1543155696"/>
      </c:barChart>
      <c:catAx>
        <c:axId val="1543155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155696"/>
        <c:crosses val="autoZero"/>
        <c:auto val="1"/>
        <c:lblAlgn val="ctr"/>
        <c:lblOffset val="100"/>
        <c:noMultiLvlLbl val="0"/>
      </c:catAx>
      <c:valAx>
        <c:axId val="1543155696"/>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crossAx val="154315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[Vishwajeet Sharma (personal finance)  (1).xlsx]Pivot Table !PivotTable4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Expenses</a:t>
            </a:r>
            <a:r>
              <a:rPr lang="en-US" baseline="0"/>
              <a:t> by Description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s>
    <c:plotArea>
      <c:layout/>
      <c:pieChart>
        <c:varyColors val="1"/>
        <c:ser>
          <c:idx val="0"/>
          <c:order val="0"/>
          <c:tx>
            <c:strRef>
              <c:f>'Pivot Table '!$K$3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88-40D7-BDAB-10CAB5794D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88-40D7-BDAB-10CAB5794D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A88-40D7-BDAB-10CAB5794DB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A88-40D7-BDAB-10CAB5794DB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A88-40D7-BDAB-10CAB5794DB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A88-40D7-BDAB-10CAB5794DB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A88-40D7-BDAB-10CAB5794DB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A88-40D7-BDAB-10CAB5794DB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A88-40D7-BDAB-10CAB5794DB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A88-40D7-BDAB-10CAB5794DB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A88-40D7-BDAB-10CAB5794DB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A88-40D7-BDAB-10CAB5794DBC}"/>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A88-40D7-BDAB-10CAB5794DBC}"/>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A88-40D7-BDAB-10CAB5794DBC}"/>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0A88-40D7-BDAB-10CAB5794DBC}"/>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0A88-40D7-BDAB-10CAB5794DBC}"/>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0A88-40D7-BDAB-10CAB5794DBC}"/>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0A88-40D7-BDAB-10CAB5794DBC}"/>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0A88-40D7-BDAB-10CAB5794DBC}"/>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0A88-40D7-BDAB-10CAB5794D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'!$J$4:$J$24</c:f>
              <c:strCache>
                <c:ptCount val="20"/>
                <c:pt idx="0">
                  <c:v>Birthday Gift</c:v>
                </c:pt>
                <c:pt idx="1">
                  <c:v>Bus Ticket</c:v>
                </c:pt>
                <c:pt idx="2">
                  <c:v>Business Profit</c:v>
                </c:pt>
                <c:pt idx="3">
                  <c:v>Clothes Shopping</c:v>
                </c:pt>
                <c:pt idx="4">
                  <c:v>Dinner at Restaurant</c:v>
                </c:pt>
                <c:pt idx="5">
                  <c:v>Doctor Consultation</c:v>
                </c:pt>
                <c:pt idx="6">
                  <c:v>Electricity Bill</c:v>
                </c:pt>
                <c:pt idx="7">
                  <c:v>Fixed Deposit</c:v>
                </c:pt>
                <c:pt idx="8">
                  <c:v>Freelance Project Payment</c:v>
                </c:pt>
                <c:pt idx="9">
                  <c:v>Grocery Shopping</c:v>
                </c:pt>
                <c:pt idx="10">
                  <c:v>Gym Membership</c:v>
                </c:pt>
                <c:pt idx="11">
                  <c:v>House Rent Payment</c:v>
                </c:pt>
                <c:pt idx="12">
                  <c:v>Miscellaneous Expense</c:v>
                </c:pt>
                <c:pt idx="13">
                  <c:v>Mobile Recharge</c:v>
                </c:pt>
                <c:pt idx="14">
                  <c:v>Monthly Salary</c:v>
                </c:pt>
                <c:pt idx="15">
                  <c:v>Movie Ticket</c:v>
                </c:pt>
                <c:pt idx="16">
                  <c:v>Online Shopping Order</c:v>
                </c:pt>
                <c:pt idx="17">
                  <c:v>Stock Investment</c:v>
                </c:pt>
                <c:pt idx="18">
                  <c:v>Train Ticket</c:v>
                </c:pt>
                <c:pt idx="19">
                  <c:v>Tuition Fees</c:v>
                </c:pt>
              </c:strCache>
            </c:strRef>
          </c:cat>
          <c:val>
            <c:numRef>
              <c:f>'Pivot Table '!$K$4:$K$24</c:f>
              <c:numCache>
                <c:formatCode>"₹"\ #,##0.00</c:formatCode>
                <c:ptCount val="20"/>
                <c:pt idx="0">
                  <c:v>151690</c:v>
                </c:pt>
                <c:pt idx="1">
                  <c:v>55636</c:v>
                </c:pt>
                <c:pt idx="2">
                  <c:v>73215</c:v>
                </c:pt>
                <c:pt idx="3">
                  <c:v>48395</c:v>
                </c:pt>
                <c:pt idx="4">
                  <c:v>8309</c:v>
                </c:pt>
                <c:pt idx="5">
                  <c:v>32721</c:v>
                </c:pt>
                <c:pt idx="6">
                  <c:v>57105</c:v>
                </c:pt>
                <c:pt idx="7">
                  <c:v>75649</c:v>
                </c:pt>
                <c:pt idx="8">
                  <c:v>23002</c:v>
                </c:pt>
                <c:pt idx="9">
                  <c:v>21215</c:v>
                </c:pt>
                <c:pt idx="10">
                  <c:v>246683</c:v>
                </c:pt>
                <c:pt idx="11">
                  <c:v>82852</c:v>
                </c:pt>
                <c:pt idx="12">
                  <c:v>129265</c:v>
                </c:pt>
                <c:pt idx="13">
                  <c:v>130362</c:v>
                </c:pt>
                <c:pt idx="14">
                  <c:v>10623</c:v>
                </c:pt>
                <c:pt idx="15">
                  <c:v>29713</c:v>
                </c:pt>
                <c:pt idx="16">
                  <c:v>77294</c:v>
                </c:pt>
                <c:pt idx="17">
                  <c:v>116082</c:v>
                </c:pt>
                <c:pt idx="18">
                  <c:v>71991</c:v>
                </c:pt>
                <c:pt idx="19">
                  <c:v>10957</c:v>
                </c:pt>
              </c:numCache>
            </c:numRef>
          </c:val>
          <c:extLst>
            <c:ext xmlns:c16="http://schemas.microsoft.com/office/drawing/2014/chart" uri="{C3380CC4-5D6E-409C-BE32-E72D297353CC}">
              <c16:uniqueId val="{00000028-0A88-40D7-BDAB-10CAB5794DB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[Vishwajeet Sharma (personal finance)  (1).xlsx]Pivot Table !PivotTable3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Expenses by Catogery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dLbl>
          <c:idx val="0"/>
          <c:layout>
            <c:manualLayout>
              <c:x val="-8.055555555555557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s>
    <c:plotArea>
      <c:layout/>
      <c:doughnutChart>
        <c:varyColors val="1"/>
        <c:ser>
          <c:idx val="0"/>
          <c:order val="0"/>
          <c:tx>
            <c:strRef>
              <c:f>'Pivot Table '!$H$3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63-4137-8A0F-E2ADA035F0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63-4137-8A0F-E2ADA035F0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63-4137-8A0F-E2ADA035F0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B63-4137-8A0F-E2ADA035F0F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B63-4137-8A0F-E2ADA035F0F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B63-4137-8A0F-E2ADA035F0F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B63-4137-8A0F-E2ADA035F0F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B63-4137-8A0F-E2ADA035F0F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B63-4137-8A0F-E2ADA035F0F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B63-4137-8A0F-E2ADA035F0F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B63-4137-8A0F-E2ADA035F0F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1B63-4137-8A0F-E2ADA035F0F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1B63-4137-8A0F-E2ADA035F0F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1B63-4137-8A0F-E2ADA035F0F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1B63-4137-8A0F-E2ADA035F0F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1B63-4137-8A0F-E2ADA035F0F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1B63-4137-8A0F-E2ADA035F0F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1B63-4137-8A0F-E2ADA035F0FD}"/>
              </c:ext>
            </c:extLst>
          </c:dPt>
          <c:dLbls>
            <c:dLbl>
              <c:idx val="14"/>
              <c:layout>
                <c:manualLayout>
                  <c:x val="-8.055555555555557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1B63-4137-8A0F-E2ADA035F0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'!$G$4:$G$22</c:f>
              <c:strCache>
                <c:ptCount val="18"/>
                <c:pt idx="0">
                  <c:v>Bills &amp; Recharge</c:v>
                </c:pt>
                <c:pt idx="1">
                  <c:v>Business Income</c:v>
                </c:pt>
                <c:pt idx="2">
                  <c:v>Education</c:v>
                </c:pt>
                <c:pt idx="3">
                  <c:v>Entertainment</c:v>
                </c:pt>
                <c:pt idx="4">
                  <c:v>Food &amp; Dining</c:v>
                </c:pt>
                <c:pt idx="5">
                  <c:v>Freelance</c:v>
                </c:pt>
                <c:pt idx="6">
                  <c:v>Gift</c:v>
                </c:pt>
                <c:pt idx="7">
                  <c:v>Groceries</c:v>
                </c:pt>
                <c:pt idx="8">
                  <c:v>Health &amp; Medical</c:v>
                </c:pt>
                <c:pt idx="9">
                  <c:v>Investment</c:v>
                </c:pt>
                <c:pt idx="10">
                  <c:v>Miscellaneous</c:v>
                </c:pt>
                <c:pt idx="11">
                  <c:v>Rent</c:v>
                </c:pt>
                <c:pt idx="12">
                  <c:v>Salary</c:v>
                </c:pt>
                <c:pt idx="13">
                  <c:v>Savings</c:v>
                </c:pt>
                <c:pt idx="14">
                  <c:v>Shopping</c:v>
                </c:pt>
                <c:pt idx="15">
                  <c:v>Transport</c:v>
                </c:pt>
                <c:pt idx="16">
                  <c:v>Travel</c:v>
                </c:pt>
                <c:pt idx="17">
                  <c:v>Utilities</c:v>
                </c:pt>
              </c:strCache>
            </c:strRef>
          </c:cat>
          <c:val>
            <c:numRef>
              <c:f>'Pivot Table '!$H$4:$H$22</c:f>
              <c:numCache>
                <c:formatCode>"₹"\ #,##0.00</c:formatCode>
                <c:ptCount val="18"/>
                <c:pt idx="0">
                  <c:v>122932</c:v>
                </c:pt>
                <c:pt idx="1">
                  <c:v>0</c:v>
                </c:pt>
                <c:pt idx="2">
                  <c:v>84140</c:v>
                </c:pt>
                <c:pt idx="3">
                  <c:v>145065</c:v>
                </c:pt>
                <c:pt idx="4">
                  <c:v>24173</c:v>
                </c:pt>
                <c:pt idx="5">
                  <c:v>79693</c:v>
                </c:pt>
                <c:pt idx="6">
                  <c:v>184135</c:v>
                </c:pt>
                <c:pt idx="7">
                  <c:v>133067</c:v>
                </c:pt>
                <c:pt idx="8">
                  <c:v>137669</c:v>
                </c:pt>
                <c:pt idx="9">
                  <c:v>0</c:v>
                </c:pt>
                <c:pt idx="10">
                  <c:v>48123</c:v>
                </c:pt>
                <c:pt idx="11">
                  <c:v>54322</c:v>
                </c:pt>
                <c:pt idx="12">
                  <c:v>46732</c:v>
                </c:pt>
                <c:pt idx="13">
                  <c:v>83473</c:v>
                </c:pt>
                <c:pt idx="14">
                  <c:v>70727</c:v>
                </c:pt>
                <c:pt idx="15">
                  <c:v>61678</c:v>
                </c:pt>
                <c:pt idx="16">
                  <c:v>155176</c:v>
                </c:pt>
                <c:pt idx="17">
                  <c:v>21654</c:v>
                </c:pt>
              </c:numCache>
            </c:numRef>
          </c:val>
          <c:extLst>
            <c:ext xmlns:c16="http://schemas.microsoft.com/office/drawing/2014/chart" uri="{C3380CC4-5D6E-409C-BE32-E72D297353CC}">
              <c16:uniqueId val="{00000024-1B63-4137-8A0F-E2ADA035F0F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[Vishwajeet Sharma (personal finance)  (1).xlsx]Pivot Table !PivotTable2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Expenses in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dLbl>
          <c:idx val="0"/>
          <c:layout>
            <c:manualLayout>
              <c:x val="0"/>
              <c:y val="-0.106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dLbl>
          <c:idx val="0"/>
          <c:layout>
            <c:manualLayout>
              <c:x val="-3.6111111111111212E-2"/>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'Pivot Table '!$E$3</c:f>
              <c:strCache>
                <c:ptCount val="1"/>
                <c:pt idx="0">
                  <c:v>Total</c:v>
                </c:pt>
              </c:strCache>
            </c:strRef>
          </c:tx>
          <c:spPr>
            <a:solidFill>
              <a:schemeClr val="accent1"/>
            </a:solidFill>
            <a:ln>
              <a:noFill/>
            </a:ln>
            <a:effectLst/>
          </c:spPr>
          <c:invertIfNegative val="0"/>
          <c:dPt>
            <c:idx val="2"/>
            <c:invertIfNegative val="0"/>
            <c:bubble3D val="0"/>
            <c:spPr>
              <a:solidFill>
                <a:schemeClr val="accent1"/>
              </a:solidFill>
              <a:ln>
                <a:noFill/>
              </a:ln>
              <a:effectLst/>
            </c:spPr>
            <c:extLst>
              <c:ext xmlns:c16="http://schemas.microsoft.com/office/drawing/2014/chart" uri="{C3380CC4-5D6E-409C-BE32-E72D297353CC}">
                <c16:uniqueId val="{00000002-32FD-400E-924F-7A4E0C1FD835}"/>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1-32FD-400E-924F-7A4E0C1FD835}"/>
              </c:ext>
            </c:extLst>
          </c:dPt>
          <c:dLbls>
            <c:dLbl>
              <c:idx val="2"/>
              <c:layout>
                <c:manualLayout>
                  <c:x val="-3.6111111111111212E-2"/>
                  <c:y val="-9.722222222222222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FD-400E-924F-7A4E0C1FD835}"/>
                </c:ext>
              </c:extLst>
            </c:dLbl>
            <c:dLbl>
              <c:idx val="4"/>
              <c:layout>
                <c:manualLayout>
                  <c:x val="0"/>
                  <c:y val="-0.1064814814814814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FD-400E-924F-7A4E0C1FD83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 '!$D$4:$D$16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'!$E$4:$E$16</c:f>
              <c:numCache>
                <c:formatCode>"₹"\ #,##0.00</c:formatCode>
                <c:ptCount val="12"/>
                <c:pt idx="0">
                  <c:v>106324</c:v>
                </c:pt>
                <c:pt idx="1">
                  <c:v>194337</c:v>
                </c:pt>
                <c:pt idx="2">
                  <c:v>180915</c:v>
                </c:pt>
                <c:pt idx="3">
                  <c:v>125185</c:v>
                </c:pt>
                <c:pt idx="4">
                  <c:v>239478</c:v>
                </c:pt>
                <c:pt idx="5">
                  <c:v>174042</c:v>
                </c:pt>
                <c:pt idx="6">
                  <c:v>126454</c:v>
                </c:pt>
                <c:pt idx="7">
                  <c:v>64019</c:v>
                </c:pt>
                <c:pt idx="8">
                  <c:v>43733</c:v>
                </c:pt>
                <c:pt idx="9">
                  <c:v>63893</c:v>
                </c:pt>
                <c:pt idx="10">
                  <c:v>57297</c:v>
                </c:pt>
                <c:pt idx="11">
                  <c:v>77082</c:v>
                </c:pt>
              </c:numCache>
            </c:numRef>
          </c:val>
          <c:extLst>
            <c:ext xmlns:c16="http://schemas.microsoft.com/office/drawing/2014/chart" uri="{C3380CC4-5D6E-409C-BE32-E72D297353CC}">
              <c16:uniqueId val="{00000000-32FD-400E-924F-7A4E0C1FD835}"/>
            </c:ext>
          </c:extLst>
        </c:ser>
        <c:dLbls>
          <c:showLegendKey val="0"/>
          <c:showVal val="0"/>
          <c:showCatName val="0"/>
          <c:showSerName val="0"/>
          <c:showPercent val="0"/>
          <c:showBubbleSize val="0"/>
        </c:dLbls>
        <c:gapWidth val="182"/>
        <c:axId val="1824252240"/>
        <c:axId val="1824205200"/>
      </c:barChart>
      <c:catAx>
        <c:axId val="182425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205200"/>
        <c:crosses val="autoZero"/>
        <c:auto val="1"/>
        <c:lblAlgn val="ctr"/>
        <c:lblOffset val="100"/>
        <c:noMultiLvlLbl val="0"/>
      </c:catAx>
      <c:valAx>
        <c:axId val="1824205200"/>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crossAx val="182425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[Vishwajeet Sharma (personal finance)  (1).xlsx]Pivot Table !PivotTable5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Expense</a:t>
            </a:r>
            <a:r>
              <a:rPr lang="en-US" baseline="0"/>
              <a:t>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'Pivot Table '!$B$21</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 '!$A$22:$A$27</c:f>
              <c:strCache>
                <c:ptCount val="5"/>
                <c:pt idx="0">
                  <c:v>cash</c:v>
                </c:pt>
                <c:pt idx="1">
                  <c:v>credit card </c:v>
                </c:pt>
                <c:pt idx="2">
                  <c:v>debit card</c:v>
                </c:pt>
                <c:pt idx="3">
                  <c:v>net banking</c:v>
                </c:pt>
                <c:pt idx="4">
                  <c:v>upi</c:v>
                </c:pt>
              </c:strCache>
            </c:strRef>
          </c:cat>
          <c:val>
            <c:numRef>
              <c:f>'Pivot Table '!$B$22:$B$27</c:f>
              <c:numCache>
                <c:formatCode>"₹"\ #,##0.00</c:formatCode>
                <c:ptCount val="5"/>
                <c:pt idx="0">
                  <c:v>370221</c:v>
                </c:pt>
                <c:pt idx="1">
                  <c:v>354322</c:v>
                </c:pt>
                <c:pt idx="2">
                  <c:v>246624</c:v>
                </c:pt>
                <c:pt idx="3">
                  <c:v>288649</c:v>
                </c:pt>
                <c:pt idx="4">
                  <c:v>192943</c:v>
                </c:pt>
              </c:numCache>
            </c:numRef>
          </c:val>
          <c:extLst>
            <c:ext xmlns:c16="http://schemas.microsoft.com/office/drawing/2014/chart" uri="{C3380CC4-5D6E-409C-BE32-E72D297353CC}">
              <c16:uniqueId val="{00000000-94F1-4944-9741-3BED5C5633DB}"/>
            </c:ext>
          </c:extLst>
        </c:ser>
        <c:dLbls>
          <c:showLegendKey val="0"/>
          <c:showVal val="0"/>
          <c:showCatName val="0"/>
          <c:showSerName val="0"/>
          <c:showPercent val="0"/>
          <c:showBubbleSize val="0"/>
        </c:dLbls>
        <c:gapWidth val="219"/>
        <c:overlap val="-27"/>
        <c:axId val="772581536"/>
        <c:axId val="772581056"/>
      </c:barChart>
      <c:catAx>
        <c:axId val="772581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581056"/>
        <c:crosses val="autoZero"/>
        <c:auto val="1"/>
        <c:lblAlgn val="ctr"/>
        <c:lblOffset val="100"/>
        <c:noMultiLvlLbl val="0"/>
      </c:catAx>
      <c:valAx>
        <c:axId val="772581056"/>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crossAx val="77258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523875</xdr:colOff>
      <xdr:row>7</xdr:row>
      <xdr:rowOff>0</xdr:rowOff>
    </xdr:from>
    <xdr:to>
      <xdr:col>7</xdr:col>
      <xdr:colOff>657225</xdr:colOff>
      <xdr:row>20</xdr:row>
      <xdr:rowOff>47625</xdr:rowOff>
    </xdr:to>
    <mc:AlternateContent xmlns:mc="http://schemas.openxmlformats.org/markup-compatibility/2006" xmlns:a14="http://schemas.microsoft.com/office/drawing/2010/main">
      <mc:Choice Requires="a14">
        <xdr:graphicFrame macro="">
          <xdr:nvGraphicFramePr>
            <xdr:cNvPr id="3" name="Expense">
              <a:extLst>
                <a:ext uri="{FF2B5EF4-FFF2-40B4-BE49-F238E27FC236}">
                  <a16:creationId xmlns:a16="http://schemas.microsoft.com/office/drawing/2014/main" id="{C7758B9A-7B15-C60A-FBCD-EA358AAEFC8D}"/>
                </a:ext>
              </a:extLst>
            </xdr:cNvPr>
            <xdr:cNvGraphicFramePr/>
          </xdr:nvGraphicFramePr>
          <xdr:xfrm>
            <a:off x="0" y="0"/>
            <a:ext cx="0" cy="0"/>
          </xdr:xfrm>
          <a:graphic>
            <a:graphicData uri="http://schemas.microsoft.com/office/drawing/2010/slicer">
              <sle:slicer xmlns:sle="http://schemas.microsoft.com/office/drawing/2010/slicer" name="Expense"/>
            </a:graphicData>
          </a:graphic>
        </xdr:graphicFrame>
      </mc:Choice>
      <mc:Fallback xmlns="">
        <xdr:sp macro="" textlink="">
          <xdr:nvSpPr>
            <xdr:cNvPr id="0" name=""/>
            <xdr:cNvSpPr>
              <a:spLocks noTextEdit="1"/>
            </xdr:cNvSpPr>
          </xdr:nvSpPr>
          <xdr:spPr>
            <a:xfrm>
              <a:off x="5305425" y="1333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2</xdr:row>
      <xdr:rowOff>142875</xdr:rowOff>
    </xdr:from>
    <xdr:to>
      <xdr:col>7</xdr:col>
      <xdr:colOff>38100</xdr:colOff>
      <xdr:row>14</xdr:row>
      <xdr:rowOff>152400</xdr:rowOff>
    </xdr:to>
    <xdr:graphicFrame macro="">
      <xdr:nvGraphicFramePr>
        <xdr:cNvPr id="2" name="Chart 1">
          <a:extLst>
            <a:ext uri="{FF2B5EF4-FFF2-40B4-BE49-F238E27FC236}">
              <a16:creationId xmlns:a16="http://schemas.microsoft.com/office/drawing/2014/main" id="{470C78BD-5E78-4A7F-A5F2-00F99461C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409480</xdr:colOff>
      <xdr:row>2</xdr:row>
      <xdr:rowOff>142875</xdr:rowOff>
    </xdr:from>
    <xdr:to>
      <xdr:col>15</xdr:col>
      <xdr:colOff>9525</xdr:colOff>
      <xdr:row>14</xdr:row>
      <xdr:rowOff>180975</xdr:rowOff>
    </xdr:to>
    <xdr:graphicFrame macro="">
      <xdr:nvGraphicFramePr>
        <xdr:cNvPr id="3" name="Chart 2">
          <a:extLst>
            <a:ext uri="{FF2B5EF4-FFF2-40B4-BE49-F238E27FC236}">
              <a16:creationId xmlns:a16="http://schemas.microsoft.com/office/drawing/2014/main" id="{65163197-9518-4B99-A465-291343E03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15</xdr:row>
      <xdr:rowOff>95250</xdr:rowOff>
    </xdr:from>
    <xdr:to>
      <xdr:col>7</xdr:col>
      <xdr:colOff>57150</xdr:colOff>
      <xdr:row>27</xdr:row>
      <xdr:rowOff>180975</xdr:rowOff>
    </xdr:to>
    <xdr:graphicFrame macro="">
      <xdr:nvGraphicFramePr>
        <xdr:cNvPr id="4" name="Chart 3">
          <a:extLst>
            <a:ext uri="{FF2B5EF4-FFF2-40B4-BE49-F238E27FC236}">
              <a16:creationId xmlns:a16="http://schemas.microsoft.com/office/drawing/2014/main" id="{193F261C-14CC-441F-A7BE-DB79D701B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419100</xdr:colOff>
      <xdr:row>15</xdr:row>
      <xdr:rowOff>85725</xdr:rowOff>
    </xdr:from>
    <xdr:to>
      <xdr:col>15</xdr:col>
      <xdr:colOff>114300</xdr:colOff>
      <xdr:row>27</xdr:row>
      <xdr:rowOff>171450</xdr:rowOff>
    </xdr:to>
    <xdr:graphicFrame macro="">
      <xdr:nvGraphicFramePr>
        <xdr:cNvPr id="5" name="Chart 4">
          <a:extLst>
            <a:ext uri="{FF2B5EF4-FFF2-40B4-BE49-F238E27FC236}">
              <a16:creationId xmlns:a16="http://schemas.microsoft.com/office/drawing/2014/main" id="{A05A12AC-4F23-4F61-8AA6-055E89AC3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257175</xdr:colOff>
      <xdr:row>0</xdr:row>
      <xdr:rowOff>180975</xdr:rowOff>
    </xdr:from>
    <xdr:to>
      <xdr:col>19</xdr:col>
      <xdr:colOff>390525</xdr:colOff>
      <xdr:row>9</xdr:row>
      <xdr:rowOff>66675</xdr:rowOff>
    </xdr:to>
    <mc:AlternateContent xmlns:mc="http://schemas.openxmlformats.org/markup-compatibility/2006" xmlns:a14="http://schemas.microsoft.com/office/drawing/2010/main">
      <mc:Choice Requires="a14">
        <xdr:graphicFrame macro="">
          <xdr:nvGraphicFramePr>
            <xdr:cNvPr id="6" name="Months (Date)">
              <a:extLst>
                <a:ext uri="{FF2B5EF4-FFF2-40B4-BE49-F238E27FC236}">
                  <a16:creationId xmlns:a16="http://schemas.microsoft.com/office/drawing/2014/main" id="{CE3DA08A-D0E8-EDF0-19EC-1D57A4A609AF}"/>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0010775" y="180975"/>
              <a:ext cx="1962150" cy="1600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266700</xdr:colOff>
      <xdr:row>9</xdr:row>
      <xdr:rowOff>114301</xdr:rowOff>
    </xdr:from>
    <xdr:to>
      <xdr:col>19</xdr:col>
      <xdr:colOff>419100</xdr:colOff>
      <xdr:row>17</xdr:row>
      <xdr:rowOff>133351</xdr:rowOff>
    </xdr:to>
    <mc:AlternateContent xmlns:mc="http://schemas.openxmlformats.org/markup-compatibility/2006" xmlns:a14="http://schemas.microsoft.com/office/drawing/2010/main">
      <mc:Choice Requires="a14">
        <xdr:graphicFrame macro="">
          <xdr:nvGraphicFramePr>
            <xdr:cNvPr id="7" name="Description">
              <a:extLst>
                <a:ext uri="{FF2B5EF4-FFF2-40B4-BE49-F238E27FC236}">
                  <a16:creationId xmlns:a16="http://schemas.microsoft.com/office/drawing/2014/main" id="{24E1396E-6647-8D01-41C2-EF37185A678C}"/>
                </a:ext>
              </a:extLst>
            </xdr:cNvPr>
            <xdr:cNvGraphicFramePr/>
          </xdr:nvGraphicFramePr>
          <xdr:xfrm>
            <a:off x="0" y="0"/>
            <a:ext cx="0" cy="0"/>
          </xdr:xfrm>
          <a:graphic>
            <a:graphicData uri="http://schemas.microsoft.com/office/drawing/2010/slicer">
              <sle:slicer xmlns:sle="http://schemas.microsoft.com/office/drawing/2010/slicer" name="Description"/>
            </a:graphicData>
          </a:graphic>
        </xdr:graphicFrame>
      </mc:Choice>
      <mc:Fallback xmlns="">
        <xdr:sp macro="" textlink="">
          <xdr:nvSpPr>
            <xdr:cNvPr id="0" name=""/>
            <xdr:cNvSpPr>
              <a:spLocks noTextEdit="1"/>
            </xdr:cNvSpPr>
          </xdr:nvSpPr>
          <xdr:spPr>
            <a:xfrm>
              <a:off x="10020300" y="1828800"/>
              <a:ext cx="19812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276225</xdr:colOff>
      <xdr:row>18</xdr:row>
      <xdr:rowOff>38100</xdr:rowOff>
    </xdr:from>
    <xdr:to>
      <xdr:col>19</xdr:col>
      <xdr:colOff>457200</xdr:colOff>
      <xdr:row>25</xdr:row>
      <xdr:rowOff>180975</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FBBD5F41-085B-A879-73CC-33E32D417D9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029825" y="3467100"/>
              <a:ext cx="2009775" cy="1476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257175</xdr:colOff>
      <xdr:row>28</xdr:row>
      <xdr:rowOff>133350</xdr:rowOff>
    </xdr:from>
    <xdr:to>
      <xdr:col>7</xdr:col>
      <xdr:colOff>38100</xdr:colOff>
      <xdr:row>41</xdr:row>
      <xdr:rowOff>0</xdr:rowOff>
    </xdr:to>
    <xdr:graphicFrame macro="">
      <xdr:nvGraphicFramePr>
        <xdr:cNvPr id="9" name="Chart 8">
          <a:extLst>
            <a:ext uri="{FF2B5EF4-FFF2-40B4-BE49-F238E27FC236}">
              <a16:creationId xmlns:a16="http://schemas.microsoft.com/office/drawing/2014/main" id="{EB5A9910-FE02-45D6-B5E2-D67A59D82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295275</xdr:colOff>
      <xdr:row>26</xdr:row>
      <xdr:rowOff>66676</xdr:rowOff>
    </xdr:from>
    <xdr:to>
      <xdr:col>19</xdr:col>
      <xdr:colOff>504825</xdr:colOff>
      <xdr:row>35</xdr:row>
      <xdr:rowOff>123826</xdr:rowOff>
    </xdr:to>
    <mc:AlternateContent xmlns:mc="http://schemas.openxmlformats.org/markup-compatibility/2006" xmlns:a14="http://schemas.microsoft.com/office/drawing/2010/main">
      <mc:Choice Requires="a14">
        <xdr:graphicFrame macro="">
          <xdr:nvGraphicFramePr>
            <xdr:cNvPr id="10" name="payment Method">
              <a:extLst>
                <a:ext uri="{FF2B5EF4-FFF2-40B4-BE49-F238E27FC236}">
                  <a16:creationId xmlns:a16="http://schemas.microsoft.com/office/drawing/2014/main" id="{4EDD18E1-D43F-4076-BEE0-2B0746DE9F4B}"/>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0144125" y="5019676"/>
              <a:ext cx="1943100" cy="1771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114300</xdr:colOff>
      <xdr:row>0</xdr:row>
      <xdr:rowOff>38100</xdr:rowOff>
    </xdr:from>
    <xdr:to>
      <xdr:col>12</xdr:col>
      <xdr:colOff>495300</xdr:colOff>
      <xdr:row>1</xdr:row>
      <xdr:rowOff>133350</xdr:rowOff>
    </xdr:to>
    <xdr:sp macro="" textlink="">
      <xdr:nvSpPr>
        <xdr:cNvPr id="11" name="Rectangle 10">
          <a:extLst>
            <a:ext uri="{FF2B5EF4-FFF2-40B4-BE49-F238E27FC236}">
              <a16:creationId xmlns:a16="http://schemas.microsoft.com/office/drawing/2014/main" id="{0CAA383F-F5A6-4B71-4574-C05E5BF09718}"/>
            </a:ext>
          </a:extLst>
        </xdr:cNvPr>
        <xdr:cNvSpPr/>
      </xdr:nvSpPr>
      <xdr:spPr>
        <a:xfrm>
          <a:off x="3771900" y="38100"/>
          <a:ext cx="4038600" cy="2857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Personal Finance Report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22.71045810185" createdVersion="8" refreshedVersion="8" minRefreshableVersion="3" recordCount="201" xr:uid="{3590F3DE-9424-473C-BB6F-5F9999FDB76C}">
  <cacheSource type="worksheet">
    <worksheetSource name="Table1[[Date]:[Balance]]"/>
  </cacheSource>
  <cacheFields count="8">
    <cacheField name="Date" numFmtId="164">
      <sharedItems containsSemiMixedTypes="0" containsNonDate="0" containsDate="1" containsString="0" minDate="2020-01-16T00:00:00" maxDate="2025-12-31T00:00:00" count="147">
        <d v="2025-04-09T00:00:00"/>
        <d v="2025-03-12T00:00:00"/>
        <d v="2025-05-17T00:00:00"/>
        <d v="2025-04-18T00:00:00"/>
        <d v="2025-06-18T00:00:00"/>
        <d v="2025-02-24T00:00:00"/>
        <d v="2025-06-30T00:00:00"/>
        <d v="2025-04-23T00:00:00"/>
        <d v="2025-04-06T00:00:00"/>
        <d v="2025-03-20T00:00:00"/>
        <d v="2025-06-29T00:00:00"/>
        <d v="2025-04-05T00:00:00"/>
        <d v="2025-01-09T00:00:00"/>
        <d v="2025-07-09T00:00:00"/>
        <d v="2025-05-13T00:00:00"/>
        <d v="2025-03-26T00:00:00"/>
        <d v="2025-03-21T00:00:00"/>
        <d v="2025-07-13T00:00:00"/>
        <d v="2025-05-29T00:00:00"/>
        <d v="2025-06-17T00:00:00"/>
        <d v="2025-05-14T00:00:00"/>
        <d v="2025-05-08T00:00:00"/>
        <d v="2025-06-26T00:00:00"/>
        <d v="2025-01-16T00:00:00"/>
        <d v="2025-06-14T00:00:00"/>
        <d v="2025-05-24T00:00:00"/>
        <d v="2025-03-03T00:00:00"/>
        <d v="2025-07-19T00:00:00"/>
        <d v="2025-07-16T00:00:00"/>
        <d v="2025-06-08T00:00:00"/>
        <d v="2025-04-19T00:00:00"/>
        <d v="2025-03-01T00:00:00"/>
        <d v="2025-07-03T00:00:00"/>
        <d v="2025-02-27T00:00:00"/>
        <d v="2025-01-20T00:00:00"/>
        <d v="2025-04-29T00:00:00"/>
        <d v="2025-03-14T00:00:00"/>
        <d v="2025-02-25T00:00:00"/>
        <d v="2025-07-15T00:00:00"/>
        <d v="2025-03-19T00:00:00"/>
        <d v="2025-01-24T00:00:00"/>
        <d v="2025-03-31T00:00:00"/>
        <d v="2025-05-10T00:00:00"/>
        <d v="2025-01-01T00:00:00"/>
        <d v="2025-07-20T00:00:00"/>
        <d v="2025-05-23T00:00:00"/>
        <d v="2025-05-31T00:00:00"/>
        <d v="2025-01-28T00:00:00"/>
        <d v="2025-04-27T00:00:00"/>
        <d v="2025-01-07T00:00:00"/>
        <d v="2025-04-12T00:00:00"/>
        <d v="2025-05-27T00:00:00"/>
        <d v="2025-07-08T00:00:00"/>
        <d v="2025-04-22T00:00:00"/>
        <d v="2025-02-26T00:00:00"/>
        <d v="2025-01-25T00:00:00"/>
        <d v="2025-05-18T00:00:00"/>
        <d v="2025-06-02T00:00:00"/>
        <d v="2025-07-10T00:00:00"/>
        <d v="2025-01-08T00:00:00"/>
        <d v="2025-04-20T00:00:00"/>
        <d v="2025-02-14T00:00:00"/>
        <d v="2025-01-10T00:00:00"/>
        <d v="2025-04-10T00:00:00"/>
        <d v="2025-06-11T00:00:00"/>
        <d v="2025-01-30T00:00:00"/>
        <d v="2025-03-15T00:00:00"/>
        <d v="2025-02-18T00:00:00"/>
        <d v="2025-03-16T00:00:00"/>
        <d v="2025-05-28T00:00:00"/>
        <d v="2025-04-02T00:00:00"/>
        <d v="2025-05-06T00:00:00"/>
        <d v="2025-06-09T00:00:00"/>
        <d v="2025-07-30T00:00:00"/>
        <d v="2025-08-16T00:00:00"/>
        <d v="2025-09-02T00:00:00"/>
        <d v="2025-09-19T00:00:00"/>
        <d v="2025-10-06T00:00:00"/>
        <d v="2025-10-23T00:00:00"/>
        <d v="2025-11-09T00:00:00"/>
        <d v="2025-11-26T00:00:00"/>
        <d v="2025-12-13T00:00:00"/>
        <d v="2025-12-30T00:00:00"/>
        <d v="2020-01-16T00:00:00"/>
        <d v="2020-02-02T00:00:00"/>
        <d v="2020-02-19T00:00:00"/>
        <d v="2020-03-08T00:00:00"/>
        <d v="2020-03-25T00:00:00"/>
        <d v="2020-04-11T00:00:00"/>
        <d v="2020-04-28T00:00:00"/>
        <d v="2020-05-15T00:00:00"/>
        <d v="2020-06-01T00:00:00"/>
        <d v="2020-06-18T00:00:00"/>
        <d v="2020-07-05T00:00:00"/>
        <d v="2020-07-22T00:00:00"/>
        <d v="2020-08-08T00:00:00"/>
        <d v="2020-08-25T00:00:00"/>
        <d v="2020-09-11T00:00:00"/>
        <d v="2020-09-28T00:00:00"/>
        <d v="2020-10-15T00:00:00"/>
        <d v="2020-11-01T00:00:00"/>
        <d v="2020-11-18T00:00:00"/>
        <d v="2020-12-05T00:00:00"/>
        <d v="2020-12-22T00:00:00"/>
        <d v="2021-01-08T00:00:00"/>
        <d v="2021-01-25T00:00:00"/>
        <d v="2021-02-11T00:00:00"/>
        <d v="2021-02-28T00:00:00"/>
        <d v="2021-03-17T00:00:00"/>
        <d v="2021-04-03T00:00:00"/>
        <d v="2021-04-20T00:00:00"/>
        <d v="2021-05-07T00:00:00"/>
        <d v="2021-05-24T00:00:00"/>
        <d v="2021-06-10T00:00:00"/>
        <d v="2021-06-27T00:00:00"/>
        <d v="2021-07-14T00:00:00"/>
        <d v="2021-07-31T00:00:00"/>
        <d v="2021-08-17T00:00:00"/>
        <d v="2021-09-03T00:00:00"/>
        <d v="2021-09-20T00:00:00"/>
        <d v="2021-10-07T00:00:00"/>
        <d v="2021-10-24T00:00:00"/>
        <d v="2021-11-10T00:00:00"/>
        <d v="2021-11-27T00:00:00"/>
        <d v="2021-12-14T00:00:00"/>
        <d v="2021-12-31T00:00:00"/>
        <d v="2022-01-17T00:00:00"/>
        <d v="2022-02-03T00:00:00"/>
        <d v="2022-02-20T00:00:00"/>
        <d v="2022-03-08T00:00:00"/>
        <d v="2022-03-25T00:00:00"/>
        <d v="2022-04-11T00:00:00"/>
        <d v="2022-04-28T00:00:00"/>
        <d v="2022-05-15T00:00:00"/>
        <d v="2022-06-01T00:00:00"/>
        <d v="2022-06-18T00:00:00"/>
        <d v="2022-07-05T00:00:00"/>
        <d v="2022-07-22T00:00:00"/>
        <d v="2022-08-08T00:00:00"/>
        <d v="2022-08-25T00:00:00"/>
        <d v="2022-09-11T00:00:00"/>
        <d v="2022-09-28T00:00:00"/>
        <d v="2022-10-15T00:00:00"/>
        <d v="2022-11-01T00:00:00"/>
        <d v="2022-11-18T00:00:00"/>
        <d v="2022-12-05T00:00:00"/>
        <d v="2022-12-22T00:00:00"/>
      </sharedItems>
      <fieldGroup par="7"/>
    </cacheField>
    <cacheField name="Category" numFmtId="0">
      <sharedItems count="18">
        <s v="Gift"/>
        <s v="Miscellaneous"/>
        <s v="Shopping"/>
        <s v="Entertainment"/>
        <s v="Bills &amp; Recharge"/>
        <s v="Business Income"/>
        <s v="Investment"/>
        <s v="Groceries"/>
        <s v="Travel"/>
        <s v="Education"/>
        <s v="Transport"/>
        <s v="Freelance"/>
        <s v="Utilities"/>
        <s v="Savings"/>
        <s v="Health &amp; Medical"/>
        <s v="Rent"/>
        <s v="Salary"/>
        <s v="Food &amp; Dining"/>
      </sharedItems>
    </cacheField>
    <cacheField name="Description" numFmtId="0">
      <sharedItems count="20">
        <s v="House Rent Payment"/>
        <s v="Mobile Recharge"/>
        <s v="Gym Membership"/>
        <s v="Movie Ticket"/>
        <s v="Miscellaneous Expense"/>
        <s v="Bus Ticket"/>
        <s v="Grocery Shopping"/>
        <s v="Electricity Bill"/>
        <s v="Birthday Gift"/>
        <s v="Fixed Deposit"/>
        <s v="Business Profit"/>
        <s v="Train Ticket"/>
        <s v="Monthly Salary"/>
        <s v="Online Shopping Order"/>
        <s v="Stock Investment"/>
        <s v="Clothes Shopping"/>
        <s v="Freelance Project Payment"/>
        <s v="Dinner at Restaurant"/>
        <s v="Doctor Consultation"/>
        <s v="Tuition Fees"/>
      </sharedItems>
    </cacheField>
    <cacheField name="Income" numFmtId="165">
      <sharedItems containsSemiMixedTypes="0" containsString="0" containsNumber="1" containsInteger="1" minValue="0" maxValue="58254"/>
    </cacheField>
    <cacheField name="Expense" numFmtId="165">
      <sharedItems containsSemiMixedTypes="0" containsString="0" containsNumber="1" containsInteger="1" minValue="0" maxValue="24920"/>
    </cacheField>
    <cacheField name="Balance" numFmtId="165">
      <sharedItems containsSemiMixedTypes="0" containsString="0" containsNumber="1" containsInteger="1" minValue="-143136" maxValue="1004704"/>
    </cacheField>
    <cacheField name="Days (Date)" numFmtId="0" databaseField="0">
      <fieldGroup base="0">
        <rangePr groupBy="days" startDate="2020-01-16T00:00:00" endDate="2025-12-31T00:00:00"/>
        <groupItems count="368">
          <s v="&lt;16-01-2020"/>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5"/>
        </groupItems>
      </fieldGroup>
    </cacheField>
    <cacheField name="Months (Date)" numFmtId="0" databaseField="0">
      <fieldGroup base="0">
        <rangePr groupBy="months" startDate="2020-01-16T00:00:00" endDate="2025-12-31T00:00:00"/>
        <groupItems count="14">
          <s v="&lt;16-01-2020"/>
          <s v="Jan"/>
          <s v="Feb"/>
          <s v="Mar"/>
          <s v="Apr"/>
          <s v="May"/>
          <s v="Jun"/>
          <s v="Jul"/>
          <s v="Aug"/>
          <s v="Sep"/>
          <s v="Oct"/>
          <s v="Nov"/>
          <s v="Dec"/>
          <s v="&gt;31-12-2025"/>
        </groupItems>
      </fieldGroup>
    </cacheField>
  </cacheFields>
  <extLst>
    <ext xmlns:x14="http://schemas.microsoft.com/office/spreadsheetml/2009/9/main" uri="{725AE2AE-9491-48be-B2B4-4EB974FC3084}">
      <x14:pivotCacheDefinition pivotCacheId="145010895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23.391989814816" createdVersion="8" refreshedVersion="8" minRefreshableVersion="3" recordCount="201" xr:uid="{4BA39DEA-31AE-4583-957E-6AB320593AFA}">
  <cacheSource type="worksheet">
    <worksheetSource name="Table1"/>
  </cacheSource>
  <cacheFields count="9">
    <cacheField name="Date" numFmtId="164">
      <sharedItems containsSemiMixedTypes="0" containsNonDate="0" containsDate="1" containsString="0" minDate="2020-01-16T00:00:00" maxDate="2025-12-31T00:00:00"/>
    </cacheField>
    <cacheField name="Category" numFmtId="0">
      <sharedItems/>
    </cacheField>
    <cacheField name="Description" numFmtId="0">
      <sharedItems/>
    </cacheField>
    <cacheField name="Income" numFmtId="165">
      <sharedItems containsSemiMixedTypes="0" containsString="0" containsNumber="1" containsInteger="1" minValue="0" maxValue="58254"/>
    </cacheField>
    <cacheField name="Expense" numFmtId="165">
      <sharedItems containsSemiMixedTypes="0" containsString="0" containsNumber="1" containsInteger="1" minValue="0" maxValue="24920" count="127">
        <n v="15793"/>
        <n v="7420"/>
        <n v="12784"/>
        <n v="7876"/>
        <n v="6628"/>
        <n v="12693"/>
        <n v="0"/>
        <n v="14589"/>
        <n v="16073"/>
        <n v="10565"/>
        <n v="12290"/>
        <n v="632"/>
        <n v="19502"/>
        <n v="12417"/>
        <n v="17020"/>
        <n v="1241"/>
        <n v="10179"/>
        <n v="5982"/>
        <n v="7811"/>
        <n v="502"/>
        <n v="2104"/>
        <n v="19726"/>
        <n v="15422"/>
        <n v="8508"/>
        <n v="13228"/>
        <n v="15271"/>
        <n v="4228"/>
        <n v="8725"/>
        <n v="15292"/>
        <n v="7265"/>
        <n v="19992"/>
        <n v="8353"/>
        <n v="6190"/>
        <n v="2569"/>
        <n v="2630"/>
        <n v="322"/>
        <n v="10717"/>
        <n v="5232"/>
        <n v="12106"/>
        <n v="6813"/>
        <n v="13242"/>
        <n v="857"/>
        <n v="11063"/>
        <n v="14244"/>
        <n v="14649"/>
        <n v="19109"/>
        <n v="6558"/>
        <n v="5142"/>
        <n v="15040"/>
        <n v="8511"/>
        <n v="17905"/>
        <n v="4787"/>
        <n v="8309"/>
        <n v="10957"/>
        <n v="14333"/>
        <n v="16683"/>
        <n v="12021"/>
        <n v="19311"/>
        <n v="8514"/>
        <n v="3352"/>
        <n v="6118"/>
        <n v="2941"/>
        <n v="7834"/>
        <n v="15720"/>
        <n v="3796"/>
        <n v="7818"/>
        <n v="2421"/>
        <n v="3675"/>
        <n v="4196"/>
        <n v="17760"/>
        <n v="5901"/>
        <n v="9958"/>
        <n v="4809"/>
        <n v="14405"/>
        <n v="24920"/>
        <n v="23606"/>
        <n v="13782"/>
        <n v="13909"/>
        <n v="13476"/>
        <n v="24210"/>
        <n v="23947"/>
        <n v="14543"/>
        <n v="23093"/>
        <n v="19765"/>
        <n v="10527"/>
        <n v="13236"/>
        <n v="16042"/>
        <n v="5352"/>
        <n v="6445"/>
        <n v="11551"/>
        <n v="24584"/>
        <n v="5851"/>
        <n v="9527"/>
        <n v="11724"/>
        <n v="10084"/>
        <n v="13463"/>
        <n v="18843"/>
        <n v="2359"/>
        <n v="22551"/>
        <n v="2268"/>
        <n v="10096"/>
        <n v="22044"/>
        <n v="5608"/>
        <n v="18977"/>
        <n v="1052"/>
        <n v="17403"/>
        <n v="19788"/>
        <n v="6241"/>
        <n v="10436"/>
        <n v="2565"/>
        <n v="22148"/>
        <n v="10747"/>
        <n v="16619"/>
        <n v="19600"/>
        <n v="21970"/>
        <n v="6597"/>
        <n v="22498"/>
        <n v="7281"/>
        <n v="23413"/>
        <n v="20006"/>
        <n v="17841"/>
        <n v="2806"/>
        <n v="20583"/>
        <n v="13698"/>
        <n v="6293"/>
        <n v="11120"/>
        <n v="7042"/>
      </sharedItems>
    </cacheField>
    <cacheField name="Balance" numFmtId="165">
      <sharedItems containsSemiMixedTypes="0" containsString="0" containsNumber="1" containsInteger="1" minValue="-143136" maxValue="1004704"/>
    </cacheField>
    <cacheField name="payment Method" numFmtId="0">
      <sharedItems count="5">
        <s v="cash"/>
        <s v="upi"/>
        <s v="debit card"/>
        <s v="credit card "/>
        <s v="net banking"/>
      </sharedItems>
    </cacheField>
    <cacheField name="Account/Source" numFmtId="0">
      <sharedItems/>
    </cacheField>
    <cacheField name="Type" numFmtId="0">
      <sharedItems/>
    </cacheField>
  </cacheFields>
  <extLst>
    <ext xmlns:x14="http://schemas.microsoft.com/office/spreadsheetml/2009/9/main" uri="{725AE2AE-9491-48be-B2B4-4EB974FC3084}">
      <x14:pivotCacheDefinition pivotCacheId="2691073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x v="0"/>
    <x v="0"/>
    <x v="0"/>
    <n v="0"/>
    <n v="15793"/>
    <n v="-15793"/>
  </r>
  <r>
    <x v="1"/>
    <x v="1"/>
    <x v="1"/>
    <n v="0"/>
    <n v="7420"/>
    <n v="-23213"/>
  </r>
  <r>
    <x v="2"/>
    <x v="2"/>
    <x v="2"/>
    <n v="0"/>
    <n v="12784"/>
    <n v="-35997"/>
  </r>
  <r>
    <x v="3"/>
    <x v="3"/>
    <x v="1"/>
    <n v="0"/>
    <n v="7876"/>
    <n v="-43873"/>
  </r>
  <r>
    <x v="4"/>
    <x v="0"/>
    <x v="0"/>
    <n v="0"/>
    <n v="6628"/>
    <n v="-50501"/>
  </r>
  <r>
    <x v="5"/>
    <x v="4"/>
    <x v="3"/>
    <n v="0"/>
    <n v="12693"/>
    <n v="-63194"/>
  </r>
  <r>
    <x v="6"/>
    <x v="5"/>
    <x v="4"/>
    <n v="16463"/>
    <n v="0"/>
    <n v="-46731"/>
  </r>
  <r>
    <x v="7"/>
    <x v="6"/>
    <x v="5"/>
    <n v="8712"/>
    <n v="0"/>
    <n v="-38019"/>
  </r>
  <r>
    <x v="8"/>
    <x v="7"/>
    <x v="1"/>
    <n v="0"/>
    <n v="14589"/>
    <n v="-52608"/>
  </r>
  <r>
    <x v="9"/>
    <x v="0"/>
    <x v="6"/>
    <n v="0"/>
    <n v="16073"/>
    <n v="-68681"/>
  </r>
  <r>
    <x v="10"/>
    <x v="0"/>
    <x v="7"/>
    <n v="0"/>
    <n v="10565"/>
    <n v="-79246"/>
  </r>
  <r>
    <x v="11"/>
    <x v="6"/>
    <x v="7"/>
    <n v="43556"/>
    <n v="0"/>
    <n v="-35690"/>
  </r>
  <r>
    <x v="12"/>
    <x v="1"/>
    <x v="8"/>
    <n v="0"/>
    <n v="12290"/>
    <n v="-47980"/>
  </r>
  <r>
    <x v="13"/>
    <x v="3"/>
    <x v="9"/>
    <n v="0"/>
    <n v="632"/>
    <n v="-48612"/>
  </r>
  <r>
    <x v="14"/>
    <x v="8"/>
    <x v="10"/>
    <n v="0"/>
    <n v="19502"/>
    <n v="-68114"/>
  </r>
  <r>
    <x v="15"/>
    <x v="4"/>
    <x v="11"/>
    <n v="0"/>
    <n v="12417"/>
    <n v="-80531"/>
  </r>
  <r>
    <x v="16"/>
    <x v="2"/>
    <x v="3"/>
    <n v="0"/>
    <n v="17020"/>
    <n v="-97551"/>
  </r>
  <r>
    <x v="14"/>
    <x v="7"/>
    <x v="12"/>
    <n v="0"/>
    <n v="1241"/>
    <n v="-98792"/>
  </r>
  <r>
    <x v="17"/>
    <x v="4"/>
    <x v="1"/>
    <n v="0"/>
    <n v="10179"/>
    <n v="-108971"/>
  </r>
  <r>
    <x v="18"/>
    <x v="9"/>
    <x v="10"/>
    <n v="0"/>
    <n v="5982"/>
    <n v="-114953"/>
  </r>
  <r>
    <x v="19"/>
    <x v="10"/>
    <x v="5"/>
    <n v="0"/>
    <n v="7811"/>
    <n v="-122764"/>
  </r>
  <r>
    <x v="20"/>
    <x v="11"/>
    <x v="6"/>
    <n v="7410"/>
    <n v="0"/>
    <n v="-115354"/>
  </r>
  <r>
    <x v="21"/>
    <x v="9"/>
    <x v="4"/>
    <n v="0"/>
    <n v="502"/>
    <n v="-115856"/>
  </r>
  <r>
    <x v="22"/>
    <x v="12"/>
    <x v="13"/>
    <n v="0"/>
    <n v="2104"/>
    <n v="-117960"/>
  </r>
  <r>
    <x v="23"/>
    <x v="6"/>
    <x v="4"/>
    <n v="18480"/>
    <n v="0"/>
    <n v="-99480"/>
  </r>
  <r>
    <x v="24"/>
    <x v="4"/>
    <x v="1"/>
    <n v="0"/>
    <n v="19726"/>
    <n v="-119206"/>
  </r>
  <r>
    <x v="25"/>
    <x v="2"/>
    <x v="4"/>
    <n v="0"/>
    <n v="15422"/>
    <n v="-134628"/>
  </r>
  <r>
    <x v="26"/>
    <x v="3"/>
    <x v="1"/>
    <n v="0"/>
    <n v="8508"/>
    <n v="-143136"/>
  </r>
  <r>
    <x v="27"/>
    <x v="6"/>
    <x v="13"/>
    <n v="9098"/>
    <n v="0"/>
    <n v="-134038"/>
  </r>
  <r>
    <x v="28"/>
    <x v="13"/>
    <x v="10"/>
    <n v="52156"/>
    <n v="0"/>
    <n v="-81882"/>
  </r>
  <r>
    <x v="29"/>
    <x v="7"/>
    <x v="11"/>
    <n v="0"/>
    <n v="13228"/>
    <n v="-95110"/>
  </r>
  <r>
    <x v="30"/>
    <x v="5"/>
    <x v="6"/>
    <n v="29121"/>
    <n v="0"/>
    <n v="-65989"/>
  </r>
  <r>
    <x v="9"/>
    <x v="6"/>
    <x v="9"/>
    <n v="26173"/>
    <n v="0"/>
    <n v="-39816"/>
  </r>
  <r>
    <x v="31"/>
    <x v="14"/>
    <x v="9"/>
    <n v="0"/>
    <n v="15271"/>
    <n v="-55087"/>
  </r>
  <r>
    <x v="32"/>
    <x v="11"/>
    <x v="1"/>
    <n v="20432"/>
    <n v="0"/>
    <n v="-34655"/>
  </r>
  <r>
    <x v="15"/>
    <x v="4"/>
    <x v="1"/>
    <n v="0"/>
    <n v="4228"/>
    <n v="-38883"/>
  </r>
  <r>
    <x v="33"/>
    <x v="4"/>
    <x v="0"/>
    <n v="0"/>
    <n v="8725"/>
    <n v="-47608"/>
  </r>
  <r>
    <x v="3"/>
    <x v="5"/>
    <x v="14"/>
    <n v="46819"/>
    <n v="0"/>
    <n v="-789"/>
  </r>
  <r>
    <x v="34"/>
    <x v="14"/>
    <x v="5"/>
    <n v="0"/>
    <n v="15292"/>
    <n v="-16081"/>
  </r>
  <r>
    <x v="35"/>
    <x v="11"/>
    <x v="6"/>
    <n v="7616"/>
    <n v="0"/>
    <n v="-8465"/>
  </r>
  <r>
    <x v="36"/>
    <x v="0"/>
    <x v="15"/>
    <n v="0"/>
    <n v="7265"/>
    <n v="-15730"/>
  </r>
  <r>
    <x v="32"/>
    <x v="5"/>
    <x v="15"/>
    <n v="42328"/>
    <n v="0"/>
    <n v="26598"/>
  </r>
  <r>
    <x v="37"/>
    <x v="7"/>
    <x v="11"/>
    <n v="0"/>
    <n v="19992"/>
    <n v="6606"/>
  </r>
  <r>
    <x v="38"/>
    <x v="3"/>
    <x v="16"/>
    <n v="0"/>
    <n v="8353"/>
    <n v="-1747"/>
  </r>
  <r>
    <x v="39"/>
    <x v="2"/>
    <x v="1"/>
    <n v="0"/>
    <n v="6190"/>
    <n v="-7937"/>
  </r>
  <r>
    <x v="5"/>
    <x v="15"/>
    <x v="12"/>
    <n v="0"/>
    <n v="2569"/>
    <n v="-10506"/>
  </r>
  <r>
    <x v="38"/>
    <x v="8"/>
    <x v="2"/>
    <n v="0"/>
    <n v="2630"/>
    <n v="-13136"/>
  </r>
  <r>
    <x v="40"/>
    <x v="12"/>
    <x v="1"/>
    <n v="0"/>
    <n v="322"/>
    <n v="-13458"/>
  </r>
  <r>
    <x v="41"/>
    <x v="11"/>
    <x v="0"/>
    <n v="13771"/>
    <n v="0"/>
    <n v="313"/>
  </r>
  <r>
    <x v="42"/>
    <x v="6"/>
    <x v="13"/>
    <n v="53809"/>
    <n v="0"/>
    <n v="54122"/>
  </r>
  <r>
    <x v="18"/>
    <x v="12"/>
    <x v="10"/>
    <n v="0"/>
    <n v="10717"/>
    <n v="43405"/>
  </r>
  <r>
    <x v="18"/>
    <x v="14"/>
    <x v="2"/>
    <n v="0"/>
    <n v="5232"/>
    <n v="38173"/>
  </r>
  <r>
    <x v="20"/>
    <x v="5"/>
    <x v="17"/>
    <n v="56257"/>
    <n v="0"/>
    <n v="94430"/>
  </r>
  <r>
    <x v="43"/>
    <x v="16"/>
    <x v="2"/>
    <n v="27210"/>
    <n v="0"/>
    <n v="121640"/>
  </r>
  <r>
    <x v="44"/>
    <x v="3"/>
    <x v="14"/>
    <n v="0"/>
    <n v="12106"/>
    <n v="109534"/>
  </r>
  <r>
    <x v="45"/>
    <x v="1"/>
    <x v="12"/>
    <n v="0"/>
    <n v="6813"/>
    <n v="102721"/>
  </r>
  <r>
    <x v="46"/>
    <x v="10"/>
    <x v="15"/>
    <n v="0"/>
    <n v="13242"/>
    <n v="89479"/>
  </r>
  <r>
    <x v="47"/>
    <x v="15"/>
    <x v="14"/>
    <n v="0"/>
    <n v="857"/>
    <n v="88622"/>
  </r>
  <r>
    <x v="26"/>
    <x v="9"/>
    <x v="5"/>
    <n v="0"/>
    <n v="11063"/>
    <n v="77559"/>
  </r>
  <r>
    <x v="48"/>
    <x v="11"/>
    <x v="10"/>
    <n v="33050"/>
    <n v="0"/>
    <n v="110609"/>
  </r>
  <r>
    <x v="49"/>
    <x v="17"/>
    <x v="14"/>
    <n v="0"/>
    <n v="14244"/>
    <n v="96365"/>
  </r>
  <r>
    <x v="49"/>
    <x v="6"/>
    <x v="11"/>
    <n v="24312"/>
    <n v="0"/>
    <n v="120677"/>
  </r>
  <r>
    <x v="31"/>
    <x v="7"/>
    <x v="16"/>
    <n v="0"/>
    <n v="14649"/>
    <n v="106028"/>
  </r>
  <r>
    <x v="50"/>
    <x v="6"/>
    <x v="14"/>
    <n v="34211"/>
    <n v="0"/>
    <n v="140239"/>
  </r>
  <r>
    <x v="51"/>
    <x v="10"/>
    <x v="10"/>
    <n v="0"/>
    <n v="19109"/>
    <n v="121130"/>
  </r>
  <r>
    <x v="3"/>
    <x v="14"/>
    <x v="14"/>
    <n v="0"/>
    <n v="6558"/>
    <n v="114572"/>
  </r>
  <r>
    <x v="52"/>
    <x v="11"/>
    <x v="10"/>
    <n v="54668"/>
    <n v="0"/>
    <n v="169240"/>
  </r>
  <r>
    <x v="53"/>
    <x v="17"/>
    <x v="6"/>
    <n v="0"/>
    <n v="5142"/>
    <n v="164098"/>
  </r>
  <r>
    <x v="54"/>
    <x v="9"/>
    <x v="13"/>
    <n v="0"/>
    <n v="15040"/>
    <n v="149058"/>
  </r>
  <r>
    <x v="55"/>
    <x v="12"/>
    <x v="18"/>
    <n v="0"/>
    <n v="8511"/>
    <n v="140547"/>
  </r>
  <r>
    <x v="56"/>
    <x v="3"/>
    <x v="10"/>
    <n v="0"/>
    <n v="17905"/>
    <n v="122642"/>
  </r>
  <r>
    <x v="57"/>
    <x v="17"/>
    <x v="5"/>
    <n v="0"/>
    <n v="4787"/>
    <n v="117855"/>
  </r>
  <r>
    <x v="58"/>
    <x v="9"/>
    <x v="17"/>
    <n v="0"/>
    <n v="8309"/>
    <n v="109546"/>
  </r>
  <r>
    <x v="56"/>
    <x v="11"/>
    <x v="8"/>
    <n v="7480"/>
    <n v="0"/>
    <n v="117026"/>
  </r>
  <r>
    <x v="59"/>
    <x v="16"/>
    <x v="16"/>
    <n v="34101"/>
    <n v="0"/>
    <n v="151127"/>
  </r>
  <r>
    <x v="58"/>
    <x v="0"/>
    <x v="19"/>
    <n v="0"/>
    <n v="10957"/>
    <n v="140170"/>
  </r>
  <r>
    <x v="60"/>
    <x v="11"/>
    <x v="4"/>
    <n v="46168"/>
    <n v="0"/>
    <n v="186338"/>
  </r>
  <r>
    <x v="38"/>
    <x v="0"/>
    <x v="11"/>
    <n v="0"/>
    <n v="14333"/>
    <n v="172005"/>
  </r>
  <r>
    <x v="61"/>
    <x v="14"/>
    <x v="5"/>
    <n v="0"/>
    <n v="16683"/>
    <n v="155322"/>
  </r>
  <r>
    <x v="8"/>
    <x v="16"/>
    <x v="3"/>
    <n v="41039"/>
    <n v="0"/>
    <n v="196361"/>
  </r>
  <r>
    <x v="26"/>
    <x v="9"/>
    <x v="11"/>
    <n v="0"/>
    <n v="12021"/>
    <n v="184334"/>
  </r>
  <r>
    <x v="26"/>
    <x v="2"/>
    <x v="2"/>
    <n v="0"/>
    <n v="19311"/>
    <n v="165023"/>
  </r>
  <r>
    <x v="20"/>
    <x v="0"/>
    <x v="8"/>
    <n v="0"/>
    <n v="8514"/>
    <n v="156509"/>
  </r>
  <r>
    <x v="62"/>
    <x v="6"/>
    <x v="5"/>
    <n v="32465"/>
    <n v="0"/>
    <n v="188974"/>
  </r>
  <r>
    <x v="11"/>
    <x v="9"/>
    <x v="4"/>
    <n v="0"/>
    <n v="3352"/>
    <n v="185622"/>
  </r>
  <r>
    <x v="19"/>
    <x v="0"/>
    <x v="7"/>
    <n v="0"/>
    <n v="6118"/>
    <n v="179504"/>
  </r>
  <r>
    <x v="63"/>
    <x v="4"/>
    <x v="2"/>
    <n v="0"/>
    <n v="2941"/>
    <n v="176563"/>
  </r>
  <r>
    <x v="64"/>
    <x v="13"/>
    <x v="1"/>
    <n v="58254"/>
    <n v="0"/>
    <n v="234817"/>
  </r>
  <r>
    <x v="65"/>
    <x v="7"/>
    <x v="14"/>
    <n v="0"/>
    <n v="7834"/>
    <n v="226983"/>
  </r>
  <r>
    <x v="57"/>
    <x v="16"/>
    <x v="8"/>
    <n v="53673"/>
    <n v="0"/>
    <n v="280656"/>
  </r>
  <r>
    <x v="66"/>
    <x v="15"/>
    <x v="9"/>
    <n v="0"/>
    <n v="15720"/>
    <n v="264936"/>
  </r>
  <r>
    <x v="37"/>
    <x v="11"/>
    <x v="15"/>
    <n v="29321"/>
    <n v="0"/>
    <n v="294257"/>
  </r>
  <r>
    <x v="67"/>
    <x v="3"/>
    <x v="0"/>
    <n v="0"/>
    <n v="3796"/>
    <n v="290461"/>
  </r>
  <r>
    <x v="61"/>
    <x v="1"/>
    <x v="2"/>
    <n v="0"/>
    <n v="7818"/>
    <n v="282643"/>
  </r>
  <r>
    <x v="25"/>
    <x v="14"/>
    <x v="4"/>
    <n v="0"/>
    <n v="2421"/>
    <n v="280222"/>
  </r>
  <r>
    <x v="68"/>
    <x v="10"/>
    <x v="2"/>
    <n v="0"/>
    <n v="3675"/>
    <n v="276547"/>
  </r>
  <r>
    <x v="18"/>
    <x v="8"/>
    <x v="2"/>
    <n v="0"/>
    <n v="4196"/>
    <n v="272351"/>
  </r>
  <r>
    <x v="69"/>
    <x v="11"/>
    <x v="8"/>
    <n v="56515"/>
    <n v="0"/>
    <n v="328866"/>
  </r>
  <r>
    <x v="33"/>
    <x v="8"/>
    <x v="13"/>
    <n v="0"/>
    <n v="17760"/>
    <n v="311106"/>
  </r>
  <r>
    <x v="68"/>
    <x v="13"/>
    <x v="18"/>
    <n v="38465"/>
    <n v="0"/>
    <n v="349571"/>
  </r>
  <r>
    <x v="70"/>
    <x v="9"/>
    <x v="7"/>
    <n v="0"/>
    <n v="5901"/>
    <n v="343670"/>
  </r>
  <r>
    <x v="30"/>
    <x v="0"/>
    <x v="2"/>
    <n v="42919"/>
    <n v="9958"/>
    <n v="376631"/>
  </r>
  <r>
    <x v="71"/>
    <x v="4"/>
    <x v="1"/>
    <n v="22735"/>
    <n v="4809"/>
    <n v="394557"/>
  </r>
  <r>
    <x v="45"/>
    <x v="13"/>
    <x v="14"/>
    <n v="0"/>
    <n v="14405"/>
    <n v="380152"/>
  </r>
  <r>
    <x v="72"/>
    <x v="7"/>
    <x v="8"/>
    <n v="0"/>
    <n v="24920"/>
    <n v="355232"/>
  </r>
  <r>
    <x v="22"/>
    <x v="16"/>
    <x v="9"/>
    <n v="52442"/>
    <n v="0"/>
    <n v="407674"/>
  </r>
  <r>
    <x v="17"/>
    <x v="15"/>
    <x v="15"/>
    <n v="0"/>
    <n v="0"/>
    <n v="407674"/>
  </r>
  <r>
    <x v="73"/>
    <x v="11"/>
    <x v="0"/>
    <n v="0"/>
    <n v="0"/>
    <n v="407674"/>
  </r>
  <r>
    <x v="74"/>
    <x v="3"/>
    <x v="2"/>
    <n v="0"/>
    <n v="23606"/>
    <n v="384068"/>
  </r>
  <r>
    <x v="75"/>
    <x v="1"/>
    <x v="4"/>
    <n v="57157"/>
    <n v="13782"/>
    <n v="427443"/>
  </r>
  <r>
    <x v="76"/>
    <x v="14"/>
    <x v="2"/>
    <n v="0"/>
    <n v="13909"/>
    <n v="413534"/>
  </r>
  <r>
    <x v="77"/>
    <x v="10"/>
    <x v="2"/>
    <n v="10466"/>
    <n v="0"/>
    <n v="424000"/>
  </r>
  <r>
    <x v="78"/>
    <x v="8"/>
    <x v="8"/>
    <n v="0"/>
    <n v="13476"/>
    <n v="410524"/>
  </r>
  <r>
    <x v="79"/>
    <x v="11"/>
    <x v="13"/>
    <n v="0"/>
    <n v="0"/>
    <n v="410524"/>
  </r>
  <r>
    <x v="80"/>
    <x v="8"/>
    <x v="18"/>
    <n v="18247"/>
    <n v="24210"/>
    <n v="404561"/>
  </r>
  <r>
    <x v="81"/>
    <x v="13"/>
    <x v="7"/>
    <n v="10843"/>
    <n v="0"/>
    <n v="415404"/>
  </r>
  <r>
    <x v="82"/>
    <x v="9"/>
    <x v="2"/>
    <n v="9780"/>
    <n v="0"/>
    <n v="425184"/>
  </r>
  <r>
    <x v="83"/>
    <x v="0"/>
    <x v="1"/>
    <n v="53510"/>
    <n v="23947"/>
    <n v="454747"/>
  </r>
  <r>
    <x v="84"/>
    <x v="4"/>
    <x v="14"/>
    <n v="0"/>
    <n v="14543"/>
    <n v="440204"/>
  </r>
  <r>
    <x v="85"/>
    <x v="13"/>
    <x v="8"/>
    <n v="0"/>
    <n v="23093"/>
    <n v="417111"/>
  </r>
  <r>
    <x v="86"/>
    <x v="7"/>
    <x v="9"/>
    <n v="39761"/>
    <n v="0"/>
    <n v="456872"/>
  </r>
  <r>
    <x v="87"/>
    <x v="16"/>
    <x v="15"/>
    <n v="0"/>
    <n v="0"/>
    <n v="456872"/>
  </r>
  <r>
    <x v="88"/>
    <x v="15"/>
    <x v="0"/>
    <n v="23726"/>
    <n v="0"/>
    <n v="480598"/>
  </r>
  <r>
    <x v="89"/>
    <x v="11"/>
    <x v="2"/>
    <n v="0"/>
    <n v="19765"/>
    <n v="460833"/>
  </r>
  <r>
    <x v="90"/>
    <x v="3"/>
    <x v="4"/>
    <n v="0"/>
    <n v="10527"/>
    <n v="450306"/>
  </r>
  <r>
    <x v="91"/>
    <x v="1"/>
    <x v="2"/>
    <n v="0"/>
    <n v="0"/>
    <n v="450306"/>
  </r>
  <r>
    <x v="92"/>
    <x v="14"/>
    <x v="2"/>
    <n v="0"/>
    <n v="13236"/>
    <n v="437070"/>
  </r>
  <r>
    <x v="93"/>
    <x v="10"/>
    <x v="8"/>
    <n v="26410"/>
    <n v="0"/>
    <n v="463480"/>
  </r>
  <r>
    <x v="94"/>
    <x v="8"/>
    <x v="13"/>
    <n v="33299"/>
    <n v="0"/>
    <n v="496779"/>
  </r>
  <r>
    <x v="95"/>
    <x v="11"/>
    <x v="18"/>
    <n v="0"/>
    <n v="0"/>
    <n v="496779"/>
  </r>
  <r>
    <x v="96"/>
    <x v="8"/>
    <x v="7"/>
    <n v="0"/>
    <n v="0"/>
    <n v="496779"/>
  </r>
  <r>
    <x v="97"/>
    <x v="13"/>
    <x v="2"/>
    <n v="0"/>
    <n v="16042"/>
    <n v="480737"/>
  </r>
  <r>
    <x v="98"/>
    <x v="9"/>
    <x v="1"/>
    <n v="0"/>
    <n v="0"/>
    <n v="480737"/>
  </r>
  <r>
    <x v="99"/>
    <x v="0"/>
    <x v="14"/>
    <n v="51220"/>
    <n v="5352"/>
    <n v="526605"/>
  </r>
  <r>
    <x v="100"/>
    <x v="4"/>
    <x v="8"/>
    <n v="19641"/>
    <n v="6445"/>
    <n v="539801"/>
  </r>
  <r>
    <x v="101"/>
    <x v="13"/>
    <x v="9"/>
    <n v="24750"/>
    <n v="0"/>
    <n v="564551"/>
  </r>
  <r>
    <x v="102"/>
    <x v="7"/>
    <x v="15"/>
    <n v="31533"/>
    <n v="11551"/>
    <n v="584533"/>
  </r>
  <r>
    <x v="103"/>
    <x v="16"/>
    <x v="0"/>
    <n v="20378"/>
    <n v="24584"/>
    <n v="580327"/>
  </r>
  <r>
    <x v="104"/>
    <x v="15"/>
    <x v="2"/>
    <n v="38701"/>
    <n v="5851"/>
    <n v="613177"/>
  </r>
  <r>
    <x v="105"/>
    <x v="11"/>
    <x v="4"/>
    <n v="30007"/>
    <n v="9527"/>
    <n v="633657"/>
  </r>
  <r>
    <x v="106"/>
    <x v="3"/>
    <x v="2"/>
    <n v="42755"/>
    <n v="11724"/>
    <n v="664688"/>
  </r>
  <r>
    <x v="107"/>
    <x v="1"/>
    <x v="2"/>
    <n v="0"/>
    <n v="0"/>
    <n v="664688"/>
  </r>
  <r>
    <x v="108"/>
    <x v="14"/>
    <x v="8"/>
    <n v="30886"/>
    <n v="10084"/>
    <n v="685490"/>
  </r>
  <r>
    <x v="109"/>
    <x v="10"/>
    <x v="13"/>
    <n v="13692"/>
    <n v="0"/>
    <n v="699182"/>
  </r>
  <r>
    <x v="110"/>
    <x v="8"/>
    <x v="18"/>
    <n v="9596"/>
    <n v="0"/>
    <n v="708778"/>
  </r>
  <r>
    <x v="111"/>
    <x v="11"/>
    <x v="7"/>
    <n v="31856"/>
    <n v="13463"/>
    <n v="727171"/>
  </r>
  <r>
    <x v="112"/>
    <x v="8"/>
    <x v="2"/>
    <n v="0"/>
    <n v="18843"/>
    <n v="708328"/>
  </r>
  <r>
    <x v="113"/>
    <x v="13"/>
    <x v="1"/>
    <n v="0"/>
    <n v="2359"/>
    <n v="705969"/>
  </r>
  <r>
    <x v="114"/>
    <x v="9"/>
    <x v="14"/>
    <n v="0"/>
    <n v="0"/>
    <n v="705969"/>
  </r>
  <r>
    <x v="115"/>
    <x v="0"/>
    <x v="8"/>
    <n v="0"/>
    <n v="22551"/>
    <n v="683418"/>
  </r>
  <r>
    <x v="116"/>
    <x v="4"/>
    <x v="9"/>
    <n v="0"/>
    <n v="2268"/>
    <n v="681150"/>
  </r>
  <r>
    <x v="117"/>
    <x v="13"/>
    <x v="15"/>
    <n v="0"/>
    <n v="10096"/>
    <n v="671054"/>
  </r>
  <r>
    <x v="118"/>
    <x v="7"/>
    <x v="0"/>
    <n v="0"/>
    <n v="0"/>
    <n v="671054"/>
  </r>
  <r>
    <x v="119"/>
    <x v="16"/>
    <x v="2"/>
    <n v="53442"/>
    <n v="0"/>
    <n v="724496"/>
  </r>
  <r>
    <x v="120"/>
    <x v="15"/>
    <x v="4"/>
    <n v="13418"/>
    <n v="22044"/>
    <n v="715870"/>
  </r>
  <r>
    <x v="121"/>
    <x v="11"/>
    <x v="2"/>
    <n v="56454"/>
    <n v="5608"/>
    <n v="766716"/>
  </r>
  <r>
    <x v="122"/>
    <x v="3"/>
    <x v="2"/>
    <n v="48940"/>
    <n v="0"/>
    <n v="815656"/>
  </r>
  <r>
    <x v="123"/>
    <x v="1"/>
    <x v="8"/>
    <n v="32656"/>
    <n v="0"/>
    <n v="848312"/>
  </r>
  <r>
    <x v="124"/>
    <x v="14"/>
    <x v="13"/>
    <n v="24389"/>
    <n v="18977"/>
    <n v="853724"/>
  </r>
  <r>
    <x v="125"/>
    <x v="10"/>
    <x v="18"/>
    <n v="0"/>
    <n v="0"/>
    <n v="853724"/>
  </r>
  <r>
    <x v="126"/>
    <x v="8"/>
    <x v="7"/>
    <n v="0"/>
    <n v="1052"/>
    <n v="852672"/>
  </r>
  <r>
    <x v="127"/>
    <x v="11"/>
    <x v="2"/>
    <n v="0"/>
    <n v="0"/>
    <n v="852672"/>
  </r>
  <r>
    <x v="128"/>
    <x v="8"/>
    <x v="1"/>
    <n v="0"/>
    <n v="17403"/>
    <n v="835269"/>
  </r>
  <r>
    <x v="129"/>
    <x v="13"/>
    <x v="14"/>
    <n v="0"/>
    <n v="0"/>
    <n v="835269"/>
  </r>
  <r>
    <x v="130"/>
    <x v="9"/>
    <x v="8"/>
    <n v="0"/>
    <n v="0"/>
    <n v="835269"/>
  </r>
  <r>
    <x v="131"/>
    <x v="0"/>
    <x v="9"/>
    <n v="0"/>
    <n v="19788"/>
    <n v="815481"/>
  </r>
  <r>
    <x v="132"/>
    <x v="4"/>
    <x v="15"/>
    <n v="5804"/>
    <n v="6241"/>
    <n v="815044"/>
  </r>
  <r>
    <x v="133"/>
    <x v="13"/>
    <x v="0"/>
    <n v="42784"/>
    <n v="10436"/>
    <n v="847392"/>
  </r>
  <r>
    <x v="134"/>
    <x v="7"/>
    <x v="2"/>
    <n v="0"/>
    <n v="2565"/>
    <n v="844827"/>
  </r>
  <r>
    <x v="135"/>
    <x v="16"/>
    <x v="4"/>
    <n v="0"/>
    <n v="22148"/>
    <n v="822679"/>
  </r>
  <r>
    <x v="136"/>
    <x v="15"/>
    <x v="2"/>
    <n v="0"/>
    <n v="0"/>
    <n v="822679"/>
  </r>
  <r>
    <x v="137"/>
    <x v="11"/>
    <x v="2"/>
    <n v="49068"/>
    <n v="10747"/>
    <n v="861000"/>
  </r>
  <r>
    <x v="138"/>
    <x v="3"/>
    <x v="8"/>
    <n v="41577"/>
    <n v="16619"/>
    <n v="885958"/>
  </r>
  <r>
    <x v="139"/>
    <x v="1"/>
    <x v="13"/>
    <n v="22227"/>
    <n v="0"/>
    <n v="908185"/>
  </r>
  <r>
    <x v="140"/>
    <x v="14"/>
    <x v="18"/>
    <n v="16273"/>
    <n v="0"/>
    <n v="924458"/>
  </r>
  <r>
    <x v="141"/>
    <x v="10"/>
    <x v="7"/>
    <n v="0"/>
    <n v="0"/>
    <n v="924458"/>
  </r>
  <r>
    <x v="142"/>
    <x v="8"/>
    <x v="2"/>
    <n v="0"/>
    <n v="0"/>
    <n v="924458"/>
  </r>
  <r>
    <x v="143"/>
    <x v="11"/>
    <x v="1"/>
    <n v="0"/>
    <n v="0"/>
    <n v="924458"/>
  </r>
  <r>
    <x v="144"/>
    <x v="8"/>
    <x v="14"/>
    <n v="0"/>
    <n v="19600"/>
    <n v="904858"/>
  </r>
  <r>
    <x v="145"/>
    <x v="13"/>
    <x v="8"/>
    <n v="0"/>
    <n v="0"/>
    <n v="904858"/>
  </r>
  <r>
    <x v="146"/>
    <x v="9"/>
    <x v="9"/>
    <n v="0"/>
    <n v="21970"/>
    <n v="882888"/>
  </r>
  <r>
    <x v="104"/>
    <x v="0"/>
    <x v="15"/>
    <n v="0"/>
    <n v="0"/>
    <n v="882888"/>
  </r>
  <r>
    <x v="105"/>
    <x v="4"/>
    <x v="0"/>
    <n v="46547"/>
    <n v="6597"/>
    <n v="922838"/>
  </r>
  <r>
    <x v="106"/>
    <x v="13"/>
    <x v="2"/>
    <n v="28884"/>
    <n v="0"/>
    <n v="951722"/>
  </r>
  <r>
    <x v="107"/>
    <x v="7"/>
    <x v="4"/>
    <n v="0"/>
    <n v="22498"/>
    <n v="929224"/>
  </r>
  <r>
    <x v="108"/>
    <x v="16"/>
    <x v="2"/>
    <n v="0"/>
    <n v="0"/>
    <n v="929224"/>
  </r>
  <r>
    <x v="109"/>
    <x v="15"/>
    <x v="2"/>
    <n v="0"/>
    <n v="7281"/>
    <n v="921943"/>
  </r>
  <r>
    <x v="110"/>
    <x v="11"/>
    <x v="8"/>
    <n v="0"/>
    <n v="0"/>
    <n v="921943"/>
  </r>
  <r>
    <x v="111"/>
    <x v="3"/>
    <x v="13"/>
    <n v="0"/>
    <n v="23413"/>
    <n v="898530"/>
  </r>
  <r>
    <x v="112"/>
    <x v="1"/>
    <x v="18"/>
    <n v="17652"/>
    <n v="0"/>
    <n v="916182"/>
  </r>
  <r>
    <x v="113"/>
    <x v="14"/>
    <x v="7"/>
    <n v="35679"/>
    <n v="20006"/>
    <n v="931855"/>
  </r>
  <r>
    <x v="114"/>
    <x v="10"/>
    <x v="2"/>
    <n v="0"/>
    <n v="17841"/>
    <n v="914014"/>
  </r>
  <r>
    <x v="115"/>
    <x v="8"/>
    <x v="1"/>
    <n v="0"/>
    <n v="2806"/>
    <n v="911208"/>
  </r>
  <r>
    <x v="116"/>
    <x v="11"/>
    <x v="14"/>
    <n v="0"/>
    <n v="20583"/>
    <n v="890625"/>
  </r>
  <r>
    <x v="117"/>
    <x v="8"/>
    <x v="8"/>
    <n v="16609"/>
    <n v="13698"/>
    <n v="893536"/>
  </r>
  <r>
    <x v="118"/>
    <x v="13"/>
    <x v="9"/>
    <n v="0"/>
    <n v="0"/>
    <n v="893536"/>
  </r>
  <r>
    <x v="119"/>
    <x v="9"/>
    <x v="15"/>
    <n v="0"/>
    <n v="0"/>
    <n v="893536"/>
  </r>
  <r>
    <x v="120"/>
    <x v="0"/>
    <x v="0"/>
    <n v="33695"/>
    <n v="6293"/>
    <n v="920938"/>
  </r>
  <r>
    <x v="121"/>
    <x v="4"/>
    <x v="2"/>
    <n v="44057"/>
    <n v="11120"/>
    <n v="953875"/>
  </r>
  <r>
    <x v="122"/>
    <x v="13"/>
    <x v="4"/>
    <n v="11435"/>
    <n v="7042"/>
    <n v="958268"/>
  </r>
  <r>
    <x v="123"/>
    <x v="9"/>
    <x v="9"/>
    <n v="46436"/>
    <n v="0"/>
    <n v="100470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d v="2025-04-09T00:00:00"/>
    <s v="Gift"/>
    <s v="House Rent Payment"/>
    <n v="0"/>
    <x v="0"/>
    <n v="-15793"/>
    <x v="0"/>
    <s v="Salary Account"/>
    <s v="Need"/>
  </r>
  <r>
    <d v="2025-03-12T00:00:00"/>
    <s v="Miscellaneous"/>
    <s v="Mobile Recharge"/>
    <n v="0"/>
    <x v="1"/>
    <n v="-23213"/>
    <x v="1"/>
    <s v="Business Account "/>
    <s v="Want"/>
  </r>
  <r>
    <d v="2025-05-17T00:00:00"/>
    <s v="Shopping"/>
    <s v="Gym Membership"/>
    <n v="0"/>
    <x v="2"/>
    <n v="-35997"/>
    <x v="2"/>
    <s v="Saving Accounts"/>
    <s v="Investment"/>
  </r>
  <r>
    <d v="2025-04-18T00:00:00"/>
    <s v="Entertainment"/>
    <s v="Mobile Recharge"/>
    <n v="0"/>
    <x v="3"/>
    <n v="-43873"/>
    <x v="3"/>
    <s v="Paytm Wallet"/>
    <s v="Need"/>
  </r>
  <r>
    <d v="2025-06-18T00:00:00"/>
    <s v="Gift"/>
    <s v="House Rent Payment"/>
    <n v="0"/>
    <x v="4"/>
    <n v="-50501"/>
    <x v="4"/>
    <s v="Credit card"/>
    <s v="Want"/>
  </r>
  <r>
    <d v="2025-02-24T00:00:00"/>
    <s v="Bills &amp; Recharge"/>
    <s v="Movie Ticket"/>
    <n v="0"/>
    <x v="5"/>
    <n v="-63194"/>
    <x v="0"/>
    <s v="Salary Account"/>
    <s v="Investment"/>
  </r>
  <r>
    <d v="2025-06-30T00:00:00"/>
    <s v="Business Income"/>
    <s v="Miscellaneous Expense"/>
    <n v="16463"/>
    <x v="6"/>
    <n v="-46731"/>
    <x v="1"/>
    <s v="Business Account "/>
    <s v="Need"/>
  </r>
  <r>
    <d v="2025-04-23T00:00:00"/>
    <s v="Investment"/>
    <s v="Bus Ticket"/>
    <n v="8712"/>
    <x v="6"/>
    <n v="-38019"/>
    <x v="2"/>
    <s v="Saving Accounts"/>
    <s v="Want"/>
  </r>
  <r>
    <d v="2025-04-06T00:00:00"/>
    <s v="Groceries"/>
    <s v="Mobile Recharge"/>
    <n v="0"/>
    <x v="7"/>
    <n v="-52608"/>
    <x v="3"/>
    <s v="Paytm Wallet"/>
    <s v="Investment"/>
  </r>
  <r>
    <d v="2025-03-20T00:00:00"/>
    <s v="Gift"/>
    <s v="Grocery Shopping"/>
    <n v="0"/>
    <x v="8"/>
    <n v="-68681"/>
    <x v="4"/>
    <s v="Credit card"/>
    <s v="Need"/>
  </r>
  <r>
    <d v="2025-06-29T00:00:00"/>
    <s v="Gift"/>
    <s v="Electricity Bill"/>
    <n v="0"/>
    <x v="9"/>
    <n v="-79246"/>
    <x v="0"/>
    <s v="Salary Account"/>
    <s v="Want"/>
  </r>
  <r>
    <d v="2025-04-05T00:00:00"/>
    <s v="Investment"/>
    <s v="Electricity Bill"/>
    <n v="43556"/>
    <x v="6"/>
    <n v="-35690"/>
    <x v="1"/>
    <s v="Business Account "/>
    <s v="Investment"/>
  </r>
  <r>
    <d v="2025-01-09T00:00:00"/>
    <s v="Miscellaneous"/>
    <s v="Birthday Gift"/>
    <n v="0"/>
    <x v="10"/>
    <n v="-47980"/>
    <x v="2"/>
    <s v="Saving Accounts"/>
    <s v="Need"/>
  </r>
  <r>
    <d v="2025-07-09T00:00:00"/>
    <s v="Entertainment"/>
    <s v="Fixed Deposit"/>
    <n v="0"/>
    <x v="11"/>
    <n v="-48612"/>
    <x v="3"/>
    <s v="Paytm Wallet"/>
    <s v="Want"/>
  </r>
  <r>
    <d v="2025-05-13T00:00:00"/>
    <s v="Travel"/>
    <s v="Business Profit"/>
    <n v="0"/>
    <x v="12"/>
    <n v="-68114"/>
    <x v="4"/>
    <s v="Credit card"/>
    <s v="Investment"/>
  </r>
  <r>
    <d v="2025-03-26T00:00:00"/>
    <s v="Bills &amp; Recharge"/>
    <s v="Train Ticket"/>
    <n v="0"/>
    <x v="13"/>
    <n v="-80531"/>
    <x v="0"/>
    <s v="Salary Account"/>
    <s v="Need"/>
  </r>
  <r>
    <d v="2025-03-21T00:00:00"/>
    <s v="Shopping"/>
    <s v="Movie Ticket"/>
    <n v="0"/>
    <x v="14"/>
    <n v="-97551"/>
    <x v="1"/>
    <s v="Business Account "/>
    <s v="Want"/>
  </r>
  <r>
    <d v="2025-05-13T00:00:00"/>
    <s v="Groceries"/>
    <s v="Monthly Salary"/>
    <n v="0"/>
    <x v="15"/>
    <n v="-98792"/>
    <x v="2"/>
    <s v="Saving Accounts"/>
    <s v="Investment"/>
  </r>
  <r>
    <d v="2025-07-13T00:00:00"/>
    <s v="Bills &amp; Recharge"/>
    <s v="Mobile Recharge"/>
    <n v="0"/>
    <x v="16"/>
    <n v="-108971"/>
    <x v="3"/>
    <s v="Paytm Wallet"/>
    <s v="Need"/>
  </r>
  <r>
    <d v="2025-05-29T00:00:00"/>
    <s v="Education"/>
    <s v="Business Profit"/>
    <n v="0"/>
    <x v="17"/>
    <n v="-114953"/>
    <x v="4"/>
    <s v="Credit card"/>
    <s v="Want"/>
  </r>
  <r>
    <d v="2025-06-17T00:00:00"/>
    <s v="Transport"/>
    <s v="Bus Ticket"/>
    <n v="0"/>
    <x v="18"/>
    <n v="-122764"/>
    <x v="0"/>
    <s v="Salary Account"/>
    <s v="Investment"/>
  </r>
  <r>
    <d v="2025-05-14T00:00:00"/>
    <s v="Freelance"/>
    <s v="Grocery Shopping"/>
    <n v="7410"/>
    <x v="6"/>
    <n v="-115354"/>
    <x v="1"/>
    <s v="Business Account "/>
    <s v="Need"/>
  </r>
  <r>
    <d v="2025-05-08T00:00:00"/>
    <s v="Education"/>
    <s v="Miscellaneous Expense"/>
    <n v="0"/>
    <x v="19"/>
    <n v="-115856"/>
    <x v="2"/>
    <s v="Saving Accounts"/>
    <s v="Want"/>
  </r>
  <r>
    <d v="2025-06-26T00:00:00"/>
    <s v="Utilities"/>
    <s v="Online Shopping Order"/>
    <n v="0"/>
    <x v="20"/>
    <n v="-117960"/>
    <x v="3"/>
    <s v="Paytm Wallet"/>
    <s v="Investment"/>
  </r>
  <r>
    <d v="2025-01-16T00:00:00"/>
    <s v="Investment"/>
    <s v="Miscellaneous Expense"/>
    <n v="18480"/>
    <x v="6"/>
    <n v="-99480"/>
    <x v="4"/>
    <s v="Credit card"/>
    <s v="Need"/>
  </r>
  <r>
    <d v="2025-06-14T00:00:00"/>
    <s v="Bills &amp; Recharge"/>
    <s v="Mobile Recharge"/>
    <n v="0"/>
    <x v="21"/>
    <n v="-119206"/>
    <x v="0"/>
    <s v="Salary Account"/>
    <s v="Want"/>
  </r>
  <r>
    <d v="2025-05-24T00:00:00"/>
    <s v="Shopping"/>
    <s v="Miscellaneous Expense"/>
    <n v="0"/>
    <x v="22"/>
    <n v="-134628"/>
    <x v="1"/>
    <s v="Business Account "/>
    <s v="Investment"/>
  </r>
  <r>
    <d v="2025-03-03T00:00:00"/>
    <s v="Entertainment"/>
    <s v="Mobile Recharge"/>
    <n v="0"/>
    <x v="23"/>
    <n v="-143136"/>
    <x v="2"/>
    <s v="Saving Accounts"/>
    <s v="Need"/>
  </r>
  <r>
    <d v="2025-07-19T00:00:00"/>
    <s v="Investment"/>
    <s v="Online Shopping Order"/>
    <n v="9098"/>
    <x v="6"/>
    <n v="-134038"/>
    <x v="3"/>
    <s v="Paytm Wallet"/>
    <s v="Want"/>
  </r>
  <r>
    <d v="2025-07-16T00:00:00"/>
    <s v="Savings"/>
    <s v="Business Profit"/>
    <n v="52156"/>
    <x v="6"/>
    <n v="-81882"/>
    <x v="4"/>
    <s v="Credit card"/>
    <s v="Investment"/>
  </r>
  <r>
    <d v="2025-06-08T00:00:00"/>
    <s v="Groceries"/>
    <s v="Train Ticket"/>
    <n v="0"/>
    <x v="24"/>
    <n v="-95110"/>
    <x v="0"/>
    <s v="Salary Account"/>
    <s v="Need"/>
  </r>
  <r>
    <d v="2025-04-19T00:00:00"/>
    <s v="Business Income"/>
    <s v="Grocery Shopping"/>
    <n v="29121"/>
    <x v="6"/>
    <n v="-65989"/>
    <x v="1"/>
    <s v="Business Account "/>
    <s v="Want"/>
  </r>
  <r>
    <d v="2025-03-20T00:00:00"/>
    <s v="Investment"/>
    <s v="Fixed Deposit"/>
    <n v="26173"/>
    <x v="6"/>
    <n v="-39816"/>
    <x v="2"/>
    <s v="Saving Accounts"/>
    <s v="Investment"/>
  </r>
  <r>
    <d v="2025-03-01T00:00:00"/>
    <s v="Health &amp; Medical"/>
    <s v="Fixed Deposit"/>
    <n v="0"/>
    <x v="25"/>
    <n v="-55087"/>
    <x v="3"/>
    <s v="Paytm Wallet"/>
    <s v="Need"/>
  </r>
  <r>
    <d v="2025-07-03T00:00:00"/>
    <s v="Freelance"/>
    <s v="Mobile Recharge"/>
    <n v="20432"/>
    <x v="6"/>
    <n v="-34655"/>
    <x v="4"/>
    <s v="Credit card"/>
    <s v="Want"/>
  </r>
  <r>
    <d v="2025-03-26T00:00:00"/>
    <s v="Bills &amp; Recharge"/>
    <s v="Mobile Recharge"/>
    <n v="0"/>
    <x v="26"/>
    <n v="-38883"/>
    <x v="0"/>
    <s v="Salary Account"/>
    <s v="Investment"/>
  </r>
  <r>
    <d v="2025-02-27T00:00:00"/>
    <s v="Bills &amp; Recharge"/>
    <s v="House Rent Payment"/>
    <n v="0"/>
    <x v="27"/>
    <n v="-47608"/>
    <x v="1"/>
    <s v="Business Account "/>
    <s v="Need"/>
  </r>
  <r>
    <d v="2025-04-18T00:00:00"/>
    <s v="Business Income"/>
    <s v="Stock Investment"/>
    <n v="46819"/>
    <x v="6"/>
    <n v="-789"/>
    <x v="2"/>
    <s v="Saving Accounts"/>
    <s v="Want"/>
  </r>
  <r>
    <d v="2025-01-20T00:00:00"/>
    <s v="Health &amp; Medical"/>
    <s v="Bus Ticket"/>
    <n v="0"/>
    <x v="28"/>
    <n v="-16081"/>
    <x v="3"/>
    <s v="Paytm Wallet"/>
    <s v="Investment"/>
  </r>
  <r>
    <d v="2025-04-29T00:00:00"/>
    <s v="Freelance"/>
    <s v="Grocery Shopping"/>
    <n v="7616"/>
    <x v="6"/>
    <n v="-8465"/>
    <x v="4"/>
    <s v="Credit card"/>
    <s v="Need"/>
  </r>
  <r>
    <d v="2025-03-14T00:00:00"/>
    <s v="Gift"/>
    <s v="Clothes Shopping"/>
    <n v="0"/>
    <x v="29"/>
    <n v="-15730"/>
    <x v="0"/>
    <s v="Salary Account"/>
    <s v="Want"/>
  </r>
  <r>
    <d v="2025-07-03T00:00:00"/>
    <s v="Business Income"/>
    <s v="Clothes Shopping"/>
    <n v="42328"/>
    <x v="6"/>
    <n v="26598"/>
    <x v="1"/>
    <s v="Business Account "/>
    <s v="Investment"/>
  </r>
  <r>
    <d v="2025-02-25T00:00:00"/>
    <s v="Groceries"/>
    <s v="Train Ticket"/>
    <n v="0"/>
    <x v="30"/>
    <n v="6606"/>
    <x v="2"/>
    <s v="Saving Accounts"/>
    <s v="Need"/>
  </r>
  <r>
    <d v="2025-07-15T00:00:00"/>
    <s v="Entertainment"/>
    <s v="Freelance Project Payment"/>
    <n v="0"/>
    <x v="31"/>
    <n v="-1747"/>
    <x v="3"/>
    <s v="Paytm Wallet"/>
    <s v="Want"/>
  </r>
  <r>
    <d v="2025-03-19T00:00:00"/>
    <s v="Shopping"/>
    <s v="Mobile Recharge"/>
    <n v="0"/>
    <x v="32"/>
    <n v="-7937"/>
    <x v="4"/>
    <s v="Credit card"/>
    <s v="Investment"/>
  </r>
  <r>
    <d v="2025-02-24T00:00:00"/>
    <s v="Rent"/>
    <s v="Monthly Salary"/>
    <n v="0"/>
    <x v="33"/>
    <n v="-10506"/>
    <x v="0"/>
    <s v="Salary Account"/>
    <s v="Need"/>
  </r>
  <r>
    <d v="2025-07-15T00:00:00"/>
    <s v="Travel"/>
    <s v="Gym Membership"/>
    <n v="0"/>
    <x v="34"/>
    <n v="-13136"/>
    <x v="1"/>
    <s v="Business Account "/>
    <s v="Want"/>
  </r>
  <r>
    <d v="2025-01-24T00:00:00"/>
    <s v="Utilities"/>
    <s v="Mobile Recharge"/>
    <n v="0"/>
    <x v="35"/>
    <n v="-13458"/>
    <x v="2"/>
    <s v="Saving Accounts"/>
    <s v="Investment"/>
  </r>
  <r>
    <d v="2025-03-31T00:00:00"/>
    <s v="Freelance"/>
    <s v="House Rent Payment"/>
    <n v="13771"/>
    <x v="6"/>
    <n v="313"/>
    <x v="3"/>
    <s v="Paytm Wallet"/>
    <s v="Need"/>
  </r>
  <r>
    <d v="2025-05-10T00:00:00"/>
    <s v="Investment"/>
    <s v="Online Shopping Order"/>
    <n v="53809"/>
    <x v="6"/>
    <n v="54122"/>
    <x v="4"/>
    <s v="Credit card"/>
    <s v="Want"/>
  </r>
  <r>
    <d v="2025-05-29T00:00:00"/>
    <s v="Utilities"/>
    <s v="Business Profit"/>
    <n v="0"/>
    <x v="36"/>
    <n v="43405"/>
    <x v="0"/>
    <s v="Salary Account"/>
    <s v="Investment"/>
  </r>
  <r>
    <d v="2025-05-29T00:00:00"/>
    <s v="Health &amp; Medical"/>
    <s v="Gym Membership"/>
    <n v="0"/>
    <x v="37"/>
    <n v="38173"/>
    <x v="1"/>
    <s v="Business Account "/>
    <s v="Need"/>
  </r>
  <r>
    <d v="2025-05-14T00:00:00"/>
    <s v="Business Income"/>
    <s v="Dinner at Restaurant"/>
    <n v="56257"/>
    <x v="6"/>
    <n v="94430"/>
    <x v="2"/>
    <s v="Saving Accounts"/>
    <s v="Want"/>
  </r>
  <r>
    <d v="2025-01-01T00:00:00"/>
    <s v="Salary"/>
    <s v="Gym Membership"/>
    <n v="27210"/>
    <x v="6"/>
    <n v="121640"/>
    <x v="3"/>
    <s v="Paytm Wallet"/>
    <s v="Investment"/>
  </r>
  <r>
    <d v="2025-07-20T00:00:00"/>
    <s v="Entertainment"/>
    <s v="Stock Investment"/>
    <n v="0"/>
    <x v="38"/>
    <n v="109534"/>
    <x v="4"/>
    <s v="Credit card"/>
    <s v="Need"/>
  </r>
  <r>
    <d v="2025-05-23T00:00:00"/>
    <s v="Miscellaneous"/>
    <s v="Monthly Salary"/>
    <n v="0"/>
    <x v="39"/>
    <n v="102721"/>
    <x v="0"/>
    <s v="Salary Account"/>
    <s v="Want"/>
  </r>
  <r>
    <d v="2025-05-31T00:00:00"/>
    <s v="Transport"/>
    <s v="Clothes Shopping"/>
    <n v="0"/>
    <x v="40"/>
    <n v="89479"/>
    <x v="1"/>
    <s v="Business Account "/>
    <s v="Investment"/>
  </r>
  <r>
    <d v="2025-01-28T00:00:00"/>
    <s v="Rent"/>
    <s v="Stock Investment"/>
    <n v="0"/>
    <x v="41"/>
    <n v="88622"/>
    <x v="2"/>
    <s v="Saving Accounts"/>
    <s v="Need"/>
  </r>
  <r>
    <d v="2025-03-03T00:00:00"/>
    <s v="Education"/>
    <s v="Bus Ticket"/>
    <n v="0"/>
    <x v="42"/>
    <n v="77559"/>
    <x v="3"/>
    <s v="Paytm Wallet"/>
    <s v="Want"/>
  </r>
  <r>
    <d v="2025-04-27T00:00:00"/>
    <s v="Freelance"/>
    <s v="Business Profit"/>
    <n v="33050"/>
    <x v="6"/>
    <n v="110609"/>
    <x v="4"/>
    <s v="Credit card"/>
    <s v="Investment"/>
  </r>
  <r>
    <d v="2025-01-07T00:00:00"/>
    <s v="Food &amp; Dining"/>
    <s v="Stock Investment"/>
    <n v="0"/>
    <x v="43"/>
    <n v="96365"/>
    <x v="0"/>
    <s v="Salary Account"/>
    <s v="Need"/>
  </r>
  <r>
    <d v="2025-01-07T00:00:00"/>
    <s v="Investment"/>
    <s v="Train Ticket"/>
    <n v="24312"/>
    <x v="6"/>
    <n v="120677"/>
    <x v="1"/>
    <s v="Business Account "/>
    <s v="Want"/>
  </r>
  <r>
    <d v="2025-03-01T00:00:00"/>
    <s v="Groceries"/>
    <s v="Freelance Project Payment"/>
    <n v="0"/>
    <x v="44"/>
    <n v="106028"/>
    <x v="2"/>
    <s v="Saving Accounts"/>
    <s v="Investment"/>
  </r>
  <r>
    <d v="2025-04-12T00:00:00"/>
    <s v="Investment"/>
    <s v="Stock Investment"/>
    <n v="34211"/>
    <x v="6"/>
    <n v="140239"/>
    <x v="3"/>
    <s v="Paytm Wallet"/>
    <s v="Need"/>
  </r>
  <r>
    <d v="2025-05-27T00:00:00"/>
    <s v="Transport"/>
    <s v="Business Profit"/>
    <n v="0"/>
    <x v="45"/>
    <n v="121130"/>
    <x v="4"/>
    <s v="Credit card"/>
    <s v="Want"/>
  </r>
  <r>
    <d v="2025-04-18T00:00:00"/>
    <s v="Health &amp; Medical"/>
    <s v="Stock Investment"/>
    <n v="0"/>
    <x v="46"/>
    <n v="114572"/>
    <x v="0"/>
    <s v="Salary Account"/>
    <s v="Investment"/>
  </r>
  <r>
    <d v="2025-07-08T00:00:00"/>
    <s v="Freelance"/>
    <s v="Business Profit"/>
    <n v="54668"/>
    <x v="6"/>
    <n v="169240"/>
    <x v="1"/>
    <s v="Business Account "/>
    <s v="Need"/>
  </r>
  <r>
    <d v="2025-04-22T00:00:00"/>
    <s v="Food &amp; Dining"/>
    <s v="Grocery Shopping"/>
    <n v="0"/>
    <x v="47"/>
    <n v="164098"/>
    <x v="2"/>
    <s v="Saving Accounts"/>
    <s v="Want"/>
  </r>
  <r>
    <d v="2025-02-26T00:00:00"/>
    <s v="Education"/>
    <s v="Online Shopping Order"/>
    <n v="0"/>
    <x v="48"/>
    <n v="149058"/>
    <x v="3"/>
    <s v="Paytm Wallet"/>
    <s v="Investment"/>
  </r>
  <r>
    <d v="2025-01-25T00:00:00"/>
    <s v="Utilities"/>
    <s v="Doctor Consultation"/>
    <n v="0"/>
    <x v="49"/>
    <n v="140547"/>
    <x v="4"/>
    <s v="Credit card"/>
    <s v="Need"/>
  </r>
  <r>
    <d v="2025-05-18T00:00:00"/>
    <s v="Entertainment"/>
    <s v="Business Profit"/>
    <n v="0"/>
    <x v="50"/>
    <n v="122642"/>
    <x v="0"/>
    <s v="Salary Account"/>
    <s v="Want"/>
  </r>
  <r>
    <d v="2025-06-02T00:00:00"/>
    <s v="Food &amp; Dining"/>
    <s v="Bus Ticket"/>
    <n v="0"/>
    <x v="51"/>
    <n v="117855"/>
    <x v="1"/>
    <s v="Business Account "/>
    <s v="Investment"/>
  </r>
  <r>
    <d v="2025-07-10T00:00:00"/>
    <s v="Education"/>
    <s v="Dinner at Restaurant"/>
    <n v="0"/>
    <x v="52"/>
    <n v="109546"/>
    <x v="2"/>
    <s v="Saving Accounts"/>
    <s v="Need"/>
  </r>
  <r>
    <d v="2025-05-18T00:00:00"/>
    <s v="Freelance"/>
    <s v="Birthday Gift"/>
    <n v="7480"/>
    <x v="6"/>
    <n v="117026"/>
    <x v="3"/>
    <s v="Paytm Wallet"/>
    <s v="Want"/>
  </r>
  <r>
    <d v="2025-01-08T00:00:00"/>
    <s v="Salary"/>
    <s v="Freelance Project Payment"/>
    <n v="34101"/>
    <x v="6"/>
    <n v="151127"/>
    <x v="4"/>
    <s v="Credit card"/>
    <s v="Investment"/>
  </r>
  <r>
    <d v="2025-07-10T00:00:00"/>
    <s v="Gift"/>
    <s v="Tuition Fees"/>
    <n v="0"/>
    <x v="53"/>
    <n v="140170"/>
    <x v="0"/>
    <s v="Salary Account"/>
    <s v="Need"/>
  </r>
  <r>
    <d v="2025-04-20T00:00:00"/>
    <s v="Freelance"/>
    <s v="Miscellaneous Expense"/>
    <n v="46168"/>
    <x v="6"/>
    <n v="186338"/>
    <x v="1"/>
    <s v="Business Account "/>
    <s v="Want"/>
  </r>
  <r>
    <d v="2025-07-15T00:00:00"/>
    <s v="Gift"/>
    <s v="Train Ticket"/>
    <n v="0"/>
    <x v="54"/>
    <n v="172005"/>
    <x v="2"/>
    <s v="Saving Accounts"/>
    <s v="Investment"/>
  </r>
  <r>
    <d v="2025-02-14T00:00:00"/>
    <s v="Health &amp; Medical"/>
    <s v="Bus Ticket"/>
    <n v="0"/>
    <x v="55"/>
    <n v="155322"/>
    <x v="3"/>
    <s v="Paytm Wallet"/>
    <s v="Need"/>
  </r>
  <r>
    <d v="2025-04-06T00:00:00"/>
    <s v="Salary"/>
    <s v="Movie Ticket"/>
    <n v="41039"/>
    <x v="6"/>
    <n v="196361"/>
    <x v="4"/>
    <s v="Credit card"/>
    <s v="Want"/>
  </r>
  <r>
    <d v="2025-03-03T00:00:00"/>
    <s v="Education"/>
    <s v="Train Ticket"/>
    <n v="0"/>
    <x v="56"/>
    <n v="184334"/>
    <x v="0"/>
    <s v="Salary Account"/>
    <s v="Investment"/>
  </r>
  <r>
    <d v="2025-03-03T00:00:00"/>
    <s v="Shopping"/>
    <s v="Gym Membership"/>
    <n v="0"/>
    <x v="57"/>
    <n v="165023"/>
    <x v="1"/>
    <s v="Business Account "/>
    <s v="Need"/>
  </r>
  <r>
    <d v="2025-05-14T00:00:00"/>
    <s v="Gift"/>
    <s v="Birthday Gift"/>
    <n v="0"/>
    <x v="58"/>
    <n v="156509"/>
    <x v="2"/>
    <s v="Saving Accounts"/>
    <s v="Want"/>
  </r>
  <r>
    <d v="2025-01-10T00:00:00"/>
    <s v="Investment"/>
    <s v="Bus Ticket"/>
    <n v="32465"/>
    <x v="6"/>
    <n v="188974"/>
    <x v="3"/>
    <s v="Paytm Wallet"/>
    <s v="Investment"/>
  </r>
  <r>
    <d v="2025-04-05T00:00:00"/>
    <s v="Education"/>
    <s v="Miscellaneous Expense"/>
    <n v="0"/>
    <x v="59"/>
    <n v="185622"/>
    <x v="4"/>
    <s v="Credit card"/>
    <s v="Need"/>
  </r>
  <r>
    <d v="2025-06-17T00:00:00"/>
    <s v="Gift"/>
    <s v="Electricity Bill"/>
    <n v="0"/>
    <x v="60"/>
    <n v="179504"/>
    <x v="0"/>
    <s v="Salary Account"/>
    <s v="Want"/>
  </r>
  <r>
    <d v="2025-04-10T00:00:00"/>
    <s v="Bills &amp; Recharge"/>
    <s v="Gym Membership"/>
    <n v="0"/>
    <x v="61"/>
    <n v="176563"/>
    <x v="1"/>
    <s v="Business Account "/>
    <s v="Investment"/>
  </r>
  <r>
    <d v="2025-06-11T00:00:00"/>
    <s v="Savings"/>
    <s v="Mobile Recharge"/>
    <n v="58254"/>
    <x v="6"/>
    <n v="234817"/>
    <x v="2"/>
    <s v="Saving Accounts"/>
    <s v="Need"/>
  </r>
  <r>
    <d v="2025-01-30T00:00:00"/>
    <s v="Groceries"/>
    <s v="Stock Investment"/>
    <n v="0"/>
    <x v="62"/>
    <n v="226983"/>
    <x v="3"/>
    <s v="Paytm Wallet"/>
    <s v="Want"/>
  </r>
  <r>
    <d v="2025-06-02T00:00:00"/>
    <s v="Salary"/>
    <s v="Birthday Gift"/>
    <n v="53673"/>
    <x v="6"/>
    <n v="280656"/>
    <x v="4"/>
    <s v="Credit card"/>
    <s v="Investment"/>
  </r>
  <r>
    <d v="2025-03-15T00:00:00"/>
    <s v="Rent"/>
    <s v="Fixed Deposit"/>
    <n v="0"/>
    <x v="63"/>
    <n v="264936"/>
    <x v="0"/>
    <s v="Salary Account"/>
    <s v="Need"/>
  </r>
  <r>
    <d v="2025-02-25T00:00:00"/>
    <s v="Freelance"/>
    <s v="Clothes Shopping"/>
    <n v="29321"/>
    <x v="6"/>
    <n v="294257"/>
    <x v="1"/>
    <s v="Business Account "/>
    <s v="Want"/>
  </r>
  <r>
    <d v="2025-02-18T00:00:00"/>
    <s v="Entertainment"/>
    <s v="House Rent Payment"/>
    <n v="0"/>
    <x v="64"/>
    <n v="290461"/>
    <x v="2"/>
    <s v="Saving Accounts"/>
    <s v="Investment"/>
  </r>
  <r>
    <d v="2025-02-14T00:00:00"/>
    <s v="Miscellaneous"/>
    <s v="Gym Membership"/>
    <n v="0"/>
    <x v="65"/>
    <n v="282643"/>
    <x v="3"/>
    <s v="Paytm Wallet"/>
    <s v="Need"/>
  </r>
  <r>
    <d v="2025-05-24T00:00:00"/>
    <s v="Health &amp; Medical"/>
    <s v="Miscellaneous Expense"/>
    <n v="0"/>
    <x v="66"/>
    <n v="280222"/>
    <x v="4"/>
    <s v="Credit card"/>
    <s v="Want"/>
  </r>
  <r>
    <d v="2025-03-16T00:00:00"/>
    <s v="Transport"/>
    <s v="Gym Membership"/>
    <n v="0"/>
    <x v="67"/>
    <n v="276547"/>
    <x v="0"/>
    <s v="Salary Account"/>
    <s v="Investment"/>
  </r>
  <r>
    <d v="2025-05-29T00:00:00"/>
    <s v="Travel"/>
    <s v="Gym Membership"/>
    <n v="0"/>
    <x v="68"/>
    <n v="272351"/>
    <x v="1"/>
    <s v="Business Account "/>
    <s v="Need"/>
  </r>
  <r>
    <d v="2025-05-28T00:00:00"/>
    <s v="Freelance"/>
    <s v="Birthday Gift"/>
    <n v="56515"/>
    <x v="6"/>
    <n v="328866"/>
    <x v="2"/>
    <s v="Saving Accounts"/>
    <s v="Want"/>
  </r>
  <r>
    <d v="2025-02-27T00:00:00"/>
    <s v="Travel"/>
    <s v="Online Shopping Order"/>
    <n v="0"/>
    <x v="69"/>
    <n v="311106"/>
    <x v="3"/>
    <s v="Paytm Wallet"/>
    <s v="Investment"/>
  </r>
  <r>
    <d v="2025-03-16T00:00:00"/>
    <s v="Savings"/>
    <s v="Doctor Consultation"/>
    <n v="38465"/>
    <x v="6"/>
    <n v="349571"/>
    <x v="4"/>
    <s v="Credit card"/>
    <s v="Need"/>
  </r>
  <r>
    <d v="2025-04-02T00:00:00"/>
    <s v="Education"/>
    <s v="Electricity Bill"/>
    <n v="0"/>
    <x v="70"/>
    <n v="343670"/>
    <x v="3"/>
    <s v="Salary Account"/>
    <s v="Investment"/>
  </r>
  <r>
    <d v="2025-04-19T00:00:00"/>
    <s v="Gift"/>
    <s v="Gym Membership"/>
    <n v="42919"/>
    <x v="71"/>
    <n v="376631"/>
    <x v="4"/>
    <s v="Business Account "/>
    <s v="Need"/>
  </r>
  <r>
    <d v="2025-05-06T00:00:00"/>
    <s v="Bills &amp; Recharge"/>
    <s v="Mobile Recharge"/>
    <n v="22735"/>
    <x v="72"/>
    <n v="394557"/>
    <x v="0"/>
    <s v="Saving Accounts"/>
    <s v="Want"/>
  </r>
  <r>
    <d v="2025-05-23T00:00:00"/>
    <s v="Savings"/>
    <s v="Stock Investment"/>
    <n v="0"/>
    <x v="73"/>
    <n v="380152"/>
    <x v="1"/>
    <s v="Paytm Wallet"/>
    <s v="Investment"/>
  </r>
  <r>
    <d v="2025-06-09T00:00:00"/>
    <s v="Groceries"/>
    <s v="Birthday Gift"/>
    <n v="0"/>
    <x v="74"/>
    <n v="355232"/>
    <x v="2"/>
    <s v="Credit card"/>
    <s v="Need"/>
  </r>
  <r>
    <d v="2025-06-26T00:00:00"/>
    <s v="Salary"/>
    <s v="Fixed Deposit"/>
    <n v="52442"/>
    <x v="6"/>
    <n v="407674"/>
    <x v="3"/>
    <s v="Salary Account"/>
    <s v="Want"/>
  </r>
  <r>
    <d v="2025-07-13T00:00:00"/>
    <s v="Rent"/>
    <s v="Clothes Shopping"/>
    <n v="0"/>
    <x v="6"/>
    <n v="407674"/>
    <x v="4"/>
    <s v="Business Account "/>
    <s v="Investment"/>
  </r>
  <r>
    <d v="2025-07-30T00:00:00"/>
    <s v="Freelance"/>
    <s v="House Rent Payment"/>
    <n v="0"/>
    <x v="6"/>
    <n v="407674"/>
    <x v="0"/>
    <s v="Saving Accounts"/>
    <s v="Need"/>
  </r>
  <r>
    <d v="2025-08-16T00:00:00"/>
    <s v="Entertainment"/>
    <s v="Gym Membership"/>
    <n v="0"/>
    <x v="75"/>
    <n v="384068"/>
    <x v="1"/>
    <s v="Paytm Wallet"/>
    <s v="Investment"/>
  </r>
  <r>
    <d v="2025-09-02T00:00:00"/>
    <s v="Miscellaneous"/>
    <s v="Miscellaneous Expense"/>
    <n v="57157"/>
    <x v="76"/>
    <n v="427443"/>
    <x v="2"/>
    <s v="Credit card"/>
    <s v="Need"/>
  </r>
  <r>
    <d v="2025-09-19T00:00:00"/>
    <s v="Health &amp; Medical"/>
    <s v="Gym Membership"/>
    <n v="0"/>
    <x v="77"/>
    <n v="413534"/>
    <x v="3"/>
    <s v="Salary Account"/>
    <s v="Want"/>
  </r>
  <r>
    <d v="2025-10-06T00:00:00"/>
    <s v="Transport"/>
    <s v="Gym Membership"/>
    <n v="10466"/>
    <x v="6"/>
    <n v="424000"/>
    <x v="4"/>
    <s v="Business Account "/>
    <s v="Investment"/>
  </r>
  <r>
    <d v="2025-10-23T00:00:00"/>
    <s v="Travel"/>
    <s v="Birthday Gift"/>
    <n v="0"/>
    <x v="78"/>
    <n v="410524"/>
    <x v="3"/>
    <s v="Saving Accounts"/>
    <s v="Need"/>
  </r>
  <r>
    <d v="2025-11-09T00:00:00"/>
    <s v="Freelance"/>
    <s v="Online Shopping Order"/>
    <n v="0"/>
    <x v="6"/>
    <n v="410524"/>
    <x v="4"/>
    <s v="Paytm Wallet"/>
    <s v="Want"/>
  </r>
  <r>
    <d v="2025-11-26T00:00:00"/>
    <s v="Travel"/>
    <s v="Doctor Consultation"/>
    <n v="18247"/>
    <x v="79"/>
    <n v="404561"/>
    <x v="0"/>
    <s v="Credit card"/>
    <s v="Investment"/>
  </r>
  <r>
    <d v="2025-12-13T00:00:00"/>
    <s v="Savings"/>
    <s v="Electricity Bill"/>
    <n v="10843"/>
    <x v="6"/>
    <n v="415404"/>
    <x v="1"/>
    <s v="Salary Account"/>
    <s v="Need"/>
  </r>
  <r>
    <d v="2025-12-30T00:00:00"/>
    <s v="Education"/>
    <s v="Gym Membership"/>
    <n v="9780"/>
    <x v="6"/>
    <n v="425184"/>
    <x v="2"/>
    <s v="Business Account "/>
    <s v="Investment"/>
  </r>
  <r>
    <d v="2020-01-16T00:00:00"/>
    <s v="Gift"/>
    <s v="Mobile Recharge"/>
    <n v="53510"/>
    <x v="80"/>
    <n v="454747"/>
    <x v="3"/>
    <s v="Saving Accounts"/>
    <s v="Need"/>
  </r>
  <r>
    <d v="2020-02-02T00:00:00"/>
    <s v="Bills &amp; Recharge"/>
    <s v="Stock Investment"/>
    <n v="0"/>
    <x v="81"/>
    <n v="440204"/>
    <x v="4"/>
    <s v="Paytm Wallet"/>
    <s v="Want"/>
  </r>
  <r>
    <d v="2020-02-19T00:00:00"/>
    <s v="Savings"/>
    <s v="Birthday Gift"/>
    <n v="0"/>
    <x v="82"/>
    <n v="417111"/>
    <x v="0"/>
    <s v="Credit card"/>
    <s v="Investment"/>
  </r>
  <r>
    <d v="2020-03-08T00:00:00"/>
    <s v="Groceries"/>
    <s v="Fixed Deposit"/>
    <n v="39761"/>
    <x v="6"/>
    <n v="456872"/>
    <x v="1"/>
    <s v="Salary Account"/>
    <s v="Need"/>
  </r>
  <r>
    <d v="2020-03-25T00:00:00"/>
    <s v="Salary"/>
    <s v="Clothes Shopping"/>
    <n v="0"/>
    <x v="6"/>
    <n v="456872"/>
    <x v="2"/>
    <s v="Business Account "/>
    <s v="Want"/>
  </r>
  <r>
    <d v="2020-04-11T00:00:00"/>
    <s v="Rent"/>
    <s v="House Rent Payment"/>
    <n v="23726"/>
    <x v="6"/>
    <n v="480598"/>
    <x v="3"/>
    <s v="Saving Accounts"/>
    <s v="Investment"/>
  </r>
  <r>
    <d v="2020-04-28T00:00:00"/>
    <s v="Freelance"/>
    <s v="Gym Membership"/>
    <n v="0"/>
    <x v="83"/>
    <n v="460833"/>
    <x v="4"/>
    <s v="Paytm Wallet"/>
    <s v="Need"/>
  </r>
  <r>
    <d v="2020-05-15T00:00:00"/>
    <s v="Entertainment"/>
    <s v="Miscellaneous Expense"/>
    <n v="0"/>
    <x v="84"/>
    <n v="450306"/>
    <x v="3"/>
    <s v="Credit card"/>
    <s v="Investment"/>
  </r>
  <r>
    <d v="2020-06-01T00:00:00"/>
    <s v="Miscellaneous"/>
    <s v="Gym Membership"/>
    <n v="0"/>
    <x v="6"/>
    <n v="450306"/>
    <x v="4"/>
    <s v="Salary Account"/>
    <s v="Need"/>
  </r>
  <r>
    <d v="2020-06-18T00:00:00"/>
    <s v="Health &amp; Medical"/>
    <s v="Gym Membership"/>
    <n v="0"/>
    <x v="85"/>
    <n v="437070"/>
    <x v="0"/>
    <s v="Business Account "/>
    <s v="Want"/>
  </r>
  <r>
    <d v="2020-07-05T00:00:00"/>
    <s v="Transport"/>
    <s v="Birthday Gift"/>
    <n v="26410"/>
    <x v="6"/>
    <n v="463480"/>
    <x v="1"/>
    <s v="Saving Accounts"/>
    <s v="Investment"/>
  </r>
  <r>
    <d v="2020-07-22T00:00:00"/>
    <s v="Travel"/>
    <s v="Online Shopping Order"/>
    <n v="33299"/>
    <x v="6"/>
    <n v="496779"/>
    <x v="2"/>
    <s v="Paytm Wallet"/>
    <s v="Need"/>
  </r>
  <r>
    <d v="2020-08-08T00:00:00"/>
    <s v="Freelance"/>
    <s v="Doctor Consultation"/>
    <n v="0"/>
    <x v="6"/>
    <n v="496779"/>
    <x v="3"/>
    <s v="Credit card"/>
    <s v="Want"/>
  </r>
  <r>
    <d v="2020-08-25T00:00:00"/>
    <s v="Travel"/>
    <s v="Electricity Bill"/>
    <n v="0"/>
    <x v="6"/>
    <n v="496779"/>
    <x v="4"/>
    <s v="Salary Account"/>
    <s v="Investment"/>
  </r>
  <r>
    <d v="2020-09-11T00:00:00"/>
    <s v="Savings"/>
    <s v="Gym Membership"/>
    <n v="0"/>
    <x v="86"/>
    <n v="480737"/>
    <x v="0"/>
    <s v="Business Account "/>
    <s v="Need"/>
  </r>
  <r>
    <d v="2020-09-28T00:00:00"/>
    <s v="Education"/>
    <s v="Mobile Recharge"/>
    <n v="0"/>
    <x v="6"/>
    <n v="480737"/>
    <x v="1"/>
    <s v="Saving Accounts"/>
    <s v="Investment"/>
  </r>
  <r>
    <d v="2020-10-15T00:00:00"/>
    <s v="Gift"/>
    <s v="Stock Investment"/>
    <n v="51220"/>
    <x v="87"/>
    <n v="526605"/>
    <x v="2"/>
    <s v="Paytm Wallet"/>
    <s v="Need"/>
  </r>
  <r>
    <d v="2020-11-01T00:00:00"/>
    <s v="Bills &amp; Recharge"/>
    <s v="Birthday Gift"/>
    <n v="19641"/>
    <x v="88"/>
    <n v="539801"/>
    <x v="3"/>
    <s v="Credit card"/>
    <s v="Want"/>
  </r>
  <r>
    <d v="2020-11-18T00:00:00"/>
    <s v="Savings"/>
    <s v="Fixed Deposit"/>
    <n v="24750"/>
    <x v="6"/>
    <n v="564551"/>
    <x v="4"/>
    <s v="Salary Account"/>
    <s v="Investment"/>
  </r>
  <r>
    <d v="2020-12-05T00:00:00"/>
    <s v="Groceries"/>
    <s v="Clothes Shopping"/>
    <n v="31533"/>
    <x v="89"/>
    <n v="584533"/>
    <x v="3"/>
    <s v="Business Account "/>
    <s v="Need"/>
  </r>
  <r>
    <d v="2020-12-22T00:00:00"/>
    <s v="Salary"/>
    <s v="House Rent Payment"/>
    <n v="20378"/>
    <x v="90"/>
    <n v="580327"/>
    <x v="4"/>
    <s v="Saving Accounts"/>
    <s v="Want"/>
  </r>
  <r>
    <d v="2021-01-08T00:00:00"/>
    <s v="Rent"/>
    <s v="Gym Membership"/>
    <n v="38701"/>
    <x v="91"/>
    <n v="613177"/>
    <x v="0"/>
    <s v="Paytm Wallet"/>
    <s v="Investment"/>
  </r>
  <r>
    <d v="2021-01-25T00:00:00"/>
    <s v="Freelance"/>
    <s v="Miscellaneous Expense"/>
    <n v="30007"/>
    <x v="92"/>
    <n v="633657"/>
    <x v="1"/>
    <s v="Credit card"/>
    <s v="Need"/>
  </r>
  <r>
    <d v="2021-02-11T00:00:00"/>
    <s v="Entertainment"/>
    <s v="Gym Membership"/>
    <n v="42755"/>
    <x v="93"/>
    <n v="664688"/>
    <x v="2"/>
    <s v="Salary Account"/>
    <s v="Investment"/>
  </r>
  <r>
    <d v="2021-02-28T00:00:00"/>
    <s v="Miscellaneous"/>
    <s v="Gym Membership"/>
    <n v="0"/>
    <x v="6"/>
    <n v="664688"/>
    <x v="3"/>
    <s v="Business Account "/>
    <s v="Need"/>
  </r>
  <r>
    <d v="2021-03-17T00:00:00"/>
    <s v="Health &amp; Medical"/>
    <s v="Birthday Gift"/>
    <n v="30886"/>
    <x v="94"/>
    <n v="685490"/>
    <x v="4"/>
    <s v="Saving Accounts"/>
    <s v="Want"/>
  </r>
  <r>
    <d v="2021-04-03T00:00:00"/>
    <s v="Transport"/>
    <s v="Online Shopping Order"/>
    <n v="13692"/>
    <x v="6"/>
    <n v="699182"/>
    <x v="0"/>
    <s v="Paytm Wallet"/>
    <s v="Investment"/>
  </r>
  <r>
    <d v="2021-04-20T00:00:00"/>
    <s v="Travel"/>
    <s v="Doctor Consultation"/>
    <n v="9596"/>
    <x v="6"/>
    <n v="708778"/>
    <x v="1"/>
    <s v="Credit card"/>
    <s v="Need"/>
  </r>
  <r>
    <d v="2021-05-07T00:00:00"/>
    <s v="Freelance"/>
    <s v="Electricity Bill"/>
    <n v="31856"/>
    <x v="95"/>
    <n v="727171"/>
    <x v="2"/>
    <s v="Salary Account"/>
    <s v="Want"/>
  </r>
  <r>
    <d v="2021-05-24T00:00:00"/>
    <s v="Travel"/>
    <s v="Gym Membership"/>
    <n v="0"/>
    <x v="96"/>
    <n v="708328"/>
    <x v="3"/>
    <s v="Business Account "/>
    <s v="Investment"/>
  </r>
  <r>
    <d v="2021-06-10T00:00:00"/>
    <s v="Savings"/>
    <s v="Mobile Recharge"/>
    <n v="0"/>
    <x v="97"/>
    <n v="705969"/>
    <x v="4"/>
    <s v="Saving Accounts"/>
    <s v="Need"/>
  </r>
  <r>
    <d v="2021-06-27T00:00:00"/>
    <s v="Education"/>
    <s v="Stock Investment"/>
    <n v="0"/>
    <x v="6"/>
    <n v="705969"/>
    <x v="3"/>
    <s v="Paytm Wallet"/>
    <s v="Investment"/>
  </r>
  <r>
    <d v="2021-07-14T00:00:00"/>
    <s v="Gift"/>
    <s v="Birthday Gift"/>
    <n v="0"/>
    <x v="98"/>
    <n v="683418"/>
    <x v="4"/>
    <s v="Credit card"/>
    <s v="Need"/>
  </r>
  <r>
    <d v="2021-07-31T00:00:00"/>
    <s v="Bills &amp; Recharge"/>
    <s v="Fixed Deposit"/>
    <n v="0"/>
    <x v="99"/>
    <n v="681150"/>
    <x v="0"/>
    <s v="Salary Account"/>
    <s v="Want"/>
  </r>
  <r>
    <d v="2021-08-17T00:00:00"/>
    <s v="Savings"/>
    <s v="Clothes Shopping"/>
    <n v="0"/>
    <x v="100"/>
    <n v="671054"/>
    <x v="1"/>
    <s v="Business Account "/>
    <s v="Investment"/>
  </r>
  <r>
    <d v="2021-09-03T00:00:00"/>
    <s v="Groceries"/>
    <s v="House Rent Payment"/>
    <n v="0"/>
    <x v="6"/>
    <n v="671054"/>
    <x v="2"/>
    <s v="Saving Accounts"/>
    <s v="Need"/>
  </r>
  <r>
    <d v="2021-09-20T00:00:00"/>
    <s v="Salary"/>
    <s v="Gym Membership"/>
    <n v="53442"/>
    <x v="6"/>
    <n v="724496"/>
    <x v="3"/>
    <s v="Paytm Wallet"/>
    <s v="Want"/>
  </r>
  <r>
    <d v="2021-10-07T00:00:00"/>
    <s v="Rent"/>
    <s v="Miscellaneous Expense"/>
    <n v="13418"/>
    <x v="101"/>
    <n v="715870"/>
    <x v="4"/>
    <s v="Credit card"/>
    <s v="Investment"/>
  </r>
  <r>
    <d v="2021-10-24T00:00:00"/>
    <s v="Freelance"/>
    <s v="Gym Membership"/>
    <n v="56454"/>
    <x v="102"/>
    <n v="766716"/>
    <x v="0"/>
    <s v="Salary Account"/>
    <s v="Need"/>
  </r>
  <r>
    <d v="2021-11-10T00:00:00"/>
    <s v="Entertainment"/>
    <s v="Gym Membership"/>
    <n v="48940"/>
    <x v="6"/>
    <n v="815656"/>
    <x v="1"/>
    <s v="Business Account "/>
    <s v="Investment"/>
  </r>
  <r>
    <d v="2021-11-27T00:00:00"/>
    <s v="Miscellaneous"/>
    <s v="Birthday Gift"/>
    <n v="32656"/>
    <x v="6"/>
    <n v="848312"/>
    <x v="2"/>
    <s v="Saving Accounts"/>
    <s v="Need"/>
  </r>
  <r>
    <d v="2021-12-14T00:00:00"/>
    <s v="Health &amp; Medical"/>
    <s v="Online Shopping Order"/>
    <n v="24389"/>
    <x v="103"/>
    <n v="853724"/>
    <x v="3"/>
    <s v="Paytm Wallet"/>
    <s v="Want"/>
  </r>
  <r>
    <d v="2021-12-31T00:00:00"/>
    <s v="Transport"/>
    <s v="Doctor Consultation"/>
    <n v="0"/>
    <x v="6"/>
    <n v="853724"/>
    <x v="4"/>
    <s v="Credit card"/>
    <s v="Investment"/>
  </r>
  <r>
    <d v="2022-01-17T00:00:00"/>
    <s v="Travel"/>
    <s v="Electricity Bill"/>
    <n v="0"/>
    <x v="104"/>
    <n v="852672"/>
    <x v="3"/>
    <s v="Salary Account"/>
    <s v="Need"/>
  </r>
  <r>
    <d v="2022-02-03T00:00:00"/>
    <s v="Freelance"/>
    <s v="Gym Membership"/>
    <n v="0"/>
    <x v="6"/>
    <n v="852672"/>
    <x v="4"/>
    <s v="Business Account "/>
    <s v="Want"/>
  </r>
  <r>
    <d v="2022-02-20T00:00:00"/>
    <s v="Travel"/>
    <s v="Mobile Recharge"/>
    <n v="0"/>
    <x v="105"/>
    <n v="835269"/>
    <x v="0"/>
    <s v="Saving Accounts"/>
    <s v="Investment"/>
  </r>
  <r>
    <d v="2022-03-08T00:00:00"/>
    <s v="Savings"/>
    <s v="Stock Investment"/>
    <n v="0"/>
    <x v="6"/>
    <n v="835269"/>
    <x v="1"/>
    <s v="Paytm Wallet"/>
    <s v="Need"/>
  </r>
  <r>
    <d v="2022-03-25T00:00:00"/>
    <s v="Education"/>
    <s v="Birthday Gift"/>
    <n v="0"/>
    <x v="6"/>
    <n v="835269"/>
    <x v="2"/>
    <s v="Credit card"/>
    <s v="Investment"/>
  </r>
  <r>
    <d v="2022-04-11T00:00:00"/>
    <s v="Gift"/>
    <s v="Fixed Deposit"/>
    <n v="0"/>
    <x v="106"/>
    <n v="815481"/>
    <x v="3"/>
    <s v="Salary Account"/>
    <s v="Need"/>
  </r>
  <r>
    <d v="2022-04-28T00:00:00"/>
    <s v="Bills &amp; Recharge"/>
    <s v="Clothes Shopping"/>
    <n v="5804"/>
    <x v="107"/>
    <n v="815044"/>
    <x v="4"/>
    <s v="Business Account "/>
    <s v="Want"/>
  </r>
  <r>
    <d v="2022-05-15T00:00:00"/>
    <s v="Savings"/>
    <s v="House Rent Payment"/>
    <n v="42784"/>
    <x v="108"/>
    <n v="847392"/>
    <x v="0"/>
    <s v="Saving Accounts"/>
    <s v="Investment"/>
  </r>
  <r>
    <d v="2022-06-01T00:00:00"/>
    <s v="Groceries"/>
    <s v="Gym Membership"/>
    <n v="0"/>
    <x v="109"/>
    <n v="844827"/>
    <x v="1"/>
    <s v="Paytm Wallet"/>
    <s v="Need"/>
  </r>
  <r>
    <d v="2022-06-18T00:00:00"/>
    <s v="Salary"/>
    <s v="Miscellaneous Expense"/>
    <n v="0"/>
    <x v="110"/>
    <n v="822679"/>
    <x v="2"/>
    <s v="Credit card"/>
    <s v="Want"/>
  </r>
  <r>
    <d v="2022-07-05T00:00:00"/>
    <s v="Rent"/>
    <s v="Gym Membership"/>
    <n v="0"/>
    <x v="6"/>
    <n v="822679"/>
    <x v="3"/>
    <s v="Salary Account"/>
    <s v="Investment"/>
  </r>
  <r>
    <d v="2022-07-22T00:00:00"/>
    <s v="Freelance"/>
    <s v="Gym Membership"/>
    <n v="49068"/>
    <x v="111"/>
    <n v="861000"/>
    <x v="4"/>
    <s v="Business Account "/>
    <s v="Need"/>
  </r>
  <r>
    <d v="2022-08-08T00:00:00"/>
    <s v="Entertainment"/>
    <s v="Birthday Gift"/>
    <n v="41577"/>
    <x v="112"/>
    <n v="885958"/>
    <x v="3"/>
    <s v="Saving Accounts"/>
    <s v="Investment"/>
  </r>
  <r>
    <d v="2022-08-25T00:00:00"/>
    <s v="Miscellaneous"/>
    <s v="Online Shopping Order"/>
    <n v="22227"/>
    <x v="6"/>
    <n v="908185"/>
    <x v="4"/>
    <s v="Paytm Wallet"/>
    <s v="Need"/>
  </r>
  <r>
    <d v="2022-09-11T00:00:00"/>
    <s v="Health &amp; Medical"/>
    <s v="Doctor Consultation"/>
    <n v="16273"/>
    <x v="6"/>
    <n v="924458"/>
    <x v="0"/>
    <s v="Credit card"/>
    <s v="Want"/>
  </r>
  <r>
    <d v="2022-09-28T00:00:00"/>
    <s v="Transport"/>
    <s v="Electricity Bill"/>
    <n v="0"/>
    <x v="6"/>
    <n v="924458"/>
    <x v="1"/>
    <s v="Salary Account"/>
    <s v="Investment"/>
  </r>
  <r>
    <d v="2022-10-15T00:00:00"/>
    <s v="Travel"/>
    <s v="Gym Membership"/>
    <n v="0"/>
    <x v="6"/>
    <n v="924458"/>
    <x v="2"/>
    <s v="Business Account "/>
    <s v="Need"/>
  </r>
  <r>
    <d v="2022-11-01T00:00:00"/>
    <s v="Freelance"/>
    <s v="Mobile Recharge"/>
    <n v="0"/>
    <x v="6"/>
    <n v="924458"/>
    <x v="3"/>
    <s v="Saving Accounts"/>
    <s v="Want"/>
  </r>
  <r>
    <d v="2022-11-18T00:00:00"/>
    <s v="Travel"/>
    <s v="Stock Investment"/>
    <n v="0"/>
    <x v="113"/>
    <n v="904858"/>
    <x v="4"/>
    <s v="Paytm Wallet"/>
    <s v="Investment"/>
  </r>
  <r>
    <d v="2022-12-05T00:00:00"/>
    <s v="Savings"/>
    <s v="Birthday Gift"/>
    <n v="0"/>
    <x v="6"/>
    <n v="904858"/>
    <x v="0"/>
    <s v="Credit card"/>
    <s v="Need"/>
  </r>
  <r>
    <d v="2022-12-22T00:00:00"/>
    <s v="Education"/>
    <s v="Fixed Deposit"/>
    <n v="0"/>
    <x v="114"/>
    <n v="882888"/>
    <x v="1"/>
    <s v="Salary Account"/>
    <s v="Investment"/>
  </r>
  <r>
    <d v="2021-01-08T00:00:00"/>
    <s v="Gift"/>
    <s v="Clothes Shopping"/>
    <n v="0"/>
    <x v="6"/>
    <n v="882888"/>
    <x v="2"/>
    <s v="Business Account "/>
    <s v="Need"/>
  </r>
  <r>
    <d v="2021-01-25T00:00:00"/>
    <s v="Bills &amp; Recharge"/>
    <s v="House Rent Payment"/>
    <n v="46547"/>
    <x v="115"/>
    <n v="922838"/>
    <x v="3"/>
    <s v="Saving Accounts"/>
    <s v="Want"/>
  </r>
  <r>
    <d v="2021-02-11T00:00:00"/>
    <s v="Savings"/>
    <s v="Gym Membership"/>
    <n v="28884"/>
    <x v="6"/>
    <n v="951722"/>
    <x v="4"/>
    <s v="Paytm Wallet"/>
    <s v="Investment"/>
  </r>
  <r>
    <d v="2021-02-28T00:00:00"/>
    <s v="Groceries"/>
    <s v="Miscellaneous Expense"/>
    <n v="0"/>
    <x v="116"/>
    <n v="929224"/>
    <x v="3"/>
    <s v="Credit card"/>
    <s v="Need"/>
  </r>
  <r>
    <d v="2021-03-17T00:00:00"/>
    <s v="Salary"/>
    <s v="Gym Membership"/>
    <n v="0"/>
    <x v="6"/>
    <n v="929224"/>
    <x v="4"/>
    <s v="Salary Account"/>
    <s v="Want"/>
  </r>
  <r>
    <d v="2021-04-03T00:00:00"/>
    <s v="Rent"/>
    <s v="Gym Membership"/>
    <n v="0"/>
    <x v="117"/>
    <n v="921943"/>
    <x v="0"/>
    <s v="Business Account "/>
    <s v="Investment"/>
  </r>
  <r>
    <d v="2021-04-20T00:00:00"/>
    <s v="Freelance"/>
    <s v="Birthday Gift"/>
    <n v="0"/>
    <x v="6"/>
    <n v="921943"/>
    <x v="1"/>
    <s v="Saving Accounts"/>
    <s v="Need"/>
  </r>
  <r>
    <d v="2021-05-07T00:00:00"/>
    <s v="Entertainment"/>
    <s v="Online Shopping Order"/>
    <n v="0"/>
    <x v="118"/>
    <n v="898530"/>
    <x v="2"/>
    <s v="Paytm Wallet"/>
    <s v="Investment"/>
  </r>
  <r>
    <d v="2021-05-24T00:00:00"/>
    <s v="Miscellaneous"/>
    <s v="Doctor Consultation"/>
    <n v="17652"/>
    <x v="6"/>
    <n v="916182"/>
    <x v="3"/>
    <s v="Credit card"/>
    <s v="Need"/>
  </r>
  <r>
    <d v="2021-06-10T00:00:00"/>
    <s v="Health &amp; Medical"/>
    <s v="Electricity Bill"/>
    <n v="35679"/>
    <x v="119"/>
    <n v="931855"/>
    <x v="4"/>
    <s v="Salary Account"/>
    <s v="Want"/>
  </r>
  <r>
    <d v="2021-06-27T00:00:00"/>
    <s v="Transport"/>
    <s v="Gym Membership"/>
    <n v="0"/>
    <x v="120"/>
    <n v="914014"/>
    <x v="0"/>
    <s v="Business Account "/>
    <s v="Investment"/>
  </r>
  <r>
    <d v="2021-07-14T00:00:00"/>
    <s v="Travel"/>
    <s v="Mobile Recharge"/>
    <n v="0"/>
    <x v="121"/>
    <n v="911208"/>
    <x v="1"/>
    <s v="Saving Accounts"/>
    <s v="Need"/>
  </r>
  <r>
    <d v="2021-07-31T00:00:00"/>
    <s v="Freelance"/>
    <s v="Stock Investment"/>
    <n v="0"/>
    <x v="122"/>
    <n v="890625"/>
    <x v="2"/>
    <s v="Paytm Wallet"/>
    <s v="Want"/>
  </r>
  <r>
    <d v="2021-08-17T00:00:00"/>
    <s v="Travel"/>
    <s v="Birthday Gift"/>
    <n v="16609"/>
    <x v="123"/>
    <n v="893536"/>
    <x v="3"/>
    <s v="Credit card"/>
    <s v="Investment"/>
  </r>
  <r>
    <d v="2021-09-03T00:00:00"/>
    <s v="Savings"/>
    <s v="Fixed Deposit"/>
    <n v="0"/>
    <x v="6"/>
    <n v="893536"/>
    <x v="4"/>
    <s v="Salary Account"/>
    <s v="Need"/>
  </r>
  <r>
    <d v="2021-09-20T00:00:00"/>
    <s v="Education"/>
    <s v="Clothes Shopping"/>
    <n v="0"/>
    <x v="6"/>
    <n v="893536"/>
    <x v="3"/>
    <s v="Business Account "/>
    <s v="Investment"/>
  </r>
  <r>
    <d v="2021-10-07T00:00:00"/>
    <s v="Gift"/>
    <s v="House Rent Payment"/>
    <n v="33695"/>
    <x v="124"/>
    <n v="920938"/>
    <x v="4"/>
    <s v="Saving Accounts"/>
    <s v="Need"/>
  </r>
  <r>
    <d v="2021-10-24T00:00:00"/>
    <s v="Bills &amp; Recharge"/>
    <s v="Gym Membership"/>
    <n v="44057"/>
    <x v="125"/>
    <n v="953875"/>
    <x v="0"/>
    <s v="Paytm Wallet"/>
    <s v="Want"/>
  </r>
  <r>
    <d v="2021-11-10T00:00:00"/>
    <s v="Savings"/>
    <s v="Miscellaneous Expense"/>
    <n v="11435"/>
    <x v="126"/>
    <n v="958268"/>
    <x v="1"/>
    <s v="Credit card"/>
    <s v="Investment"/>
  </r>
  <r>
    <d v="2021-11-27T00:00:00"/>
    <s v="Education"/>
    <s v="Fixed Deposit"/>
    <n v="46436"/>
    <x v="6"/>
    <n v="1004704"/>
    <x v="2"/>
    <s v="Salary Account"/>
    <s v="Ne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B5F181-A100-443A-B426-89EC65E67E0D}" name="PivotTable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4">
  <location ref="A3:B16" firstHeaderRow="1" firstDataRow="1" firstDataCol="1"/>
  <pivotFields count="8">
    <pivotField axis="axisRow" numFmtId="164" showAll="0">
      <items count="148">
        <item x="43"/>
        <item x="49"/>
        <item x="59"/>
        <item x="12"/>
        <item x="62"/>
        <item x="23"/>
        <item x="34"/>
        <item x="40"/>
        <item x="55"/>
        <item x="47"/>
        <item x="65"/>
        <item x="61"/>
        <item x="67"/>
        <item x="5"/>
        <item x="37"/>
        <item x="54"/>
        <item x="33"/>
        <item x="31"/>
        <item x="26"/>
        <item x="1"/>
        <item x="36"/>
        <item x="66"/>
        <item x="68"/>
        <item x="39"/>
        <item x="9"/>
        <item x="16"/>
        <item x="15"/>
        <item x="41"/>
        <item x="11"/>
        <item x="8"/>
        <item x="0"/>
        <item x="63"/>
        <item x="50"/>
        <item x="3"/>
        <item x="30"/>
        <item x="60"/>
        <item x="53"/>
        <item x="7"/>
        <item x="48"/>
        <item x="35"/>
        <item x="21"/>
        <item x="42"/>
        <item x="14"/>
        <item x="20"/>
        <item x="2"/>
        <item x="56"/>
        <item x="45"/>
        <item x="25"/>
        <item x="51"/>
        <item x="69"/>
        <item x="18"/>
        <item x="46"/>
        <item x="57"/>
        <item x="29"/>
        <item x="64"/>
        <item x="24"/>
        <item x="19"/>
        <item x="4"/>
        <item x="22"/>
        <item x="10"/>
        <item x="6"/>
        <item x="32"/>
        <item x="52"/>
        <item x="13"/>
        <item x="58"/>
        <item x="17"/>
        <item x="38"/>
        <item x="28"/>
        <item x="27"/>
        <item x="44"/>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showAll="0">
      <items count="19">
        <item x="4"/>
        <item x="5"/>
        <item x="9"/>
        <item x="3"/>
        <item x="17"/>
        <item x="11"/>
        <item x="0"/>
        <item x="7"/>
        <item x="14"/>
        <item x="6"/>
        <item x="1"/>
        <item x="15"/>
        <item x="16"/>
        <item x="13"/>
        <item x="2"/>
        <item x="10"/>
        <item x="8"/>
        <item x="12"/>
        <item t="default"/>
      </items>
    </pivotField>
    <pivotField showAll="0">
      <items count="21">
        <item x="8"/>
        <item x="5"/>
        <item x="10"/>
        <item x="15"/>
        <item x="17"/>
        <item x="18"/>
        <item x="7"/>
        <item x="9"/>
        <item x="16"/>
        <item x="6"/>
        <item x="2"/>
        <item x="0"/>
        <item x="4"/>
        <item x="1"/>
        <item x="12"/>
        <item x="3"/>
        <item x="13"/>
        <item x="14"/>
        <item x="11"/>
        <item x="19"/>
        <item t="default"/>
      </items>
    </pivotField>
    <pivotField dataField="1" showAll="0"/>
    <pivotField numFmtId="165" showAll="0"/>
    <pivotField numFmtId="165" showAll="0"/>
    <pivotField axis="axisRow"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7"/>
    <field x="6"/>
    <field x="0"/>
  </rowFields>
  <rowItems count="13">
    <i>
      <x v="1"/>
    </i>
    <i>
      <x v="2"/>
    </i>
    <i>
      <x v="3"/>
    </i>
    <i>
      <x v="4"/>
    </i>
    <i>
      <x v="5"/>
    </i>
    <i>
      <x v="6"/>
    </i>
    <i>
      <x v="7"/>
    </i>
    <i>
      <x v="8"/>
    </i>
    <i>
      <x v="9"/>
    </i>
    <i>
      <x v="10"/>
    </i>
    <i>
      <x v="11"/>
    </i>
    <i>
      <x v="12"/>
    </i>
    <i t="grand">
      <x/>
    </i>
  </rowItems>
  <colItems count="1">
    <i/>
  </colItems>
  <dataFields count="1">
    <dataField name="Sum of Income" fld="3" baseField="0" baseItem="0" numFmtId="165"/>
  </dataFields>
  <formats count="2">
    <format dxfId="1">
      <pivotArea outline="0" collapsedLevelsAreSubtotals="1" fieldPosition="0"/>
    </format>
    <format dxfId="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9755D8-C404-4BB6-B1B7-565EC1C1B18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1:B27" firstHeaderRow="1" firstDataRow="1" firstDataCol="1"/>
  <pivotFields count="9">
    <pivotField numFmtId="164" showAll="0"/>
    <pivotField showAll="0"/>
    <pivotField showAll="0"/>
    <pivotField numFmtId="165" showAll="0"/>
    <pivotField dataField="1" numFmtId="165" showAll="0">
      <items count="128">
        <item x="6"/>
        <item x="35"/>
        <item x="19"/>
        <item x="11"/>
        <item x="41"/>
        <item x="104"/>
        <item x="15"/>
        <item x="20"/>
        <item x="99"/>
        <item x="97"/>
        <item x="66"/>
        <item x="109"/>
        <item x="33"/>
        <item x="34"/>
        <item x="121"/>
        <item x="61"/>
        <item x="59"/>
        <item x="67"/>
        <item x="64"/>
        <item x="68"/>
        <item x="26"/>
        <item x="51"/>
        <item x="72"/>
        <item x="47"/>
        <item x="37"/>
        <item x="87"/>
        <item x="102"/>
        <item x="91"/>
        <item x="70"/>
        <item x="17"/>
        <item x="60"/>
        <item x="32"/>
        <item x="107"/>
        <item x="124"/>
        <item x="88"/>
        <item x="46"/>
        <item x="115"/>
        <item x="4"/>
        <item x="39"/>
        <item x="126"/>
        <item x="29"/>
        <item x="117"/>
        <item x="1"/>
        <item x="18"/>
        <item x="65"/>
        <item x="62"/>
        <item x="3"/>
        <item x="52"/>
        <item x="31"/>
        <item x="23"/>
        <item x="49"/>
        <item x="58"/>
        <item x="27"/>
        <item x="92"/>
        <item x="71"/>
        <item x="94"/>
        <item x="100"/>
        <item x="16"/>
        <item x="108"/>
        <item x="84"/>
        <item x="9"/>
        <item x="36"/>
        <item x="111"/>
        <item x="53"/>
        <item x="42"/>
        <item x="125"/>
        <item x="89"/>
        <item x="93"/>
        <item x="56"/>
        <item x="38"/>
        <item x="10"/>
        <item x="13"/>
        <item x="5"/>
        <item x="2"/>
        <item x="24"/>
        <item x="85"/>
        <item x="40"/>
        <item x="95"/>
        <item x="78"/>
        <item x="123"/>
        <item x="76"/>
        <item x="77"/>
        <item x="43"/>
        <item x="54"/>
        <item x="73"/>
        <item x="81"/>
        <item x="7"/>
        <item x="44"/>
        <item x="48"/>
        <item x="25"/>
        <item x="28"/>
        <item x="22"/>
        <item x="63"/>
        <item x="0"/>
        <item x="86"/>
        <item x="8"/>
        <item x="112"/>
        <item x="55"/>
        <item x="14"/>
        <item x="105"/>
        <item x="69"/>
        <item x="120"/>
        <item x="50"/>
        <item x="96"/>
        <item x="103"/>
        <item x="45"/>
        <item x="57"/>
        <item x="12"/>
        <item x="113"/>
        <item x="21"/>
        <item x="83"/>
        <item x="106"/>
        <item x="30"/>
        <item x="119"/>
        <item x="122"/>
        <item x="114"/>
        <item x="101"/>
        <item x="110"/>
        <item x="116"/>
        <item x="98"/>
        <item x="82"/>
        <item x="118"/>
        <item x="75"/>
        <item x="80"/>
        <item x="79"/>
        <item x="90"/>
        <item x="74"/>
        <item t="default"/>
      </items>
    </pivotField>
    <pivotField numFmtId="165" showAll="0"/>
    <pivotField axis="axisRow" showAll="0">
      <items count="6">
        <item x="0"/>
        <item x="3"/>
        <item x="2"/>
        <item x="4"/>
        <item x="1"/>
        <item t="default"/>
      </items>
    </pivotField>
    <pivotField showAll="0"/>
    <pivotField showAll="0"/>
  </pivotFields>
  <rowFields count="1">
    <field x="6"/>
  </rowFields>
  <rowItems count="6">
    <i>
      <x/>
    </i>
    <i>
      <x v="1"/>
    </i>
    <i>
      <x v="2"/>
    </i>
    <i>
      <x v="3"/>
    </i>
    <i>
      <x v="4"/>
    </i>
    <i t="grand">
      <x/>
    </i>
  </rowItems>
  <colItems count="1">
    <i/>
  </colItems>
  <dataFields count="1">
    <dataField name="Sum of Expense" fld="4"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E85AF5-A2F6-46F2-8471-871356D13295}" name="PivotTable4"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4">
  <location ref="J3:K24" firstHeaderRow="1" firstDataRow="1" firstDataCol="1"/>
  <pivotFields count="8">
    <pivotField numFmtId="164" showAll="0">
      <items count="148">
        <item x="43"/>
        <item x="49"/>
        <item x="59"/>
        <item x="12"/>
        <item x="62"/>
        <item x="23"/>
        <item x="34"/>
        <item x="40"/>
        <item x="55"/>
        <item x="47"/>
        <item x="65"/>
        <item x="61"/>
        <item x="67"/>
        <item x="5"/>
        <item x="37"/>
        <item x="54"/>
        <item x="33"/>
        <item x="31"/>
        <item x="26"/>
        <item x="1"/>
        <item x="36"/>
        <item x="66"/>
        <item x="68"/>
        <item x="39"/>
        <item x="9"/>
        <item x="16"/>
        <item x="15"/>
        <item x="41"/>
        <item x="11"/>
        <item x="8"/>
        <item x="0"/>
        <item x="63"/>
        <item x="50"/>
        <item x="3"/>
        <item x="30"/>
        <item x="60"/>
        <item x="53"/>
        <item x="7"/>
        <item x="48"/>
        <item x="35"/>
        <item x="21"/>
        <item x="42"/>
        <item x="14"/>
        <item x="20"/>
        <item x="2"/>
        <item x="56"/>
        <item x="45"/>
        <item x="25"/>
        <item x="51"/>
        <item x="69"/>
        <item x="18"/>
        <item x="46"/>
        <item x="57"/>
        <item x="29"/>
        <item x="64"/>
        <item x="24"/>
        <item x="19"/>
        <item x="4"/>
        <item x="22"/>
        <item x="10"/>
        <item x="6"/>
        <item x="32"/>
        <item x="52"/>
        <item x="13"/>
        <item x="58"/>
        <item x="17"/>
        <item x="38"/>
        <item x="28"/>
        <item x="27"/>
        <item x="44"/>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showAll="0">
      <items count="19">
        <item x="4"/>
        <item x="5"/>
        <item x="9"/>
        <item x="3"/>
        <item x="17"/>
        <item x="11"/>
        <item x="0"/>
        <item x="7"/>
        <item x="14"/>
        <item x="6"/>
        <item x="1"/>
        <item x="15"/>
        <item x="16"/>
        <item x="13"/>
        <item x="2"/>
        <item x="10"/>
        <item x="8"/>
        <item x="12"/>
        <item t="default"/>
      </items>
    </pivotField>
    <pivotField axis="axisRow" showAll="0">
      <items count="21">
        <item x="8"/>
        <item x="5"/>
        <item x="10"/>
        <item x="15"/>
        <item x="17"/>
        <item x="18"/>
        <item x="7"/>
        <item x="9"/>
        <item x="16"/>
        <item x="6"/>
        <item x="2"/>
        <item x="0"/>
        <item x="4"/>
        <item x="1"/>
        <item x="12"/>
        <item x="3"/>
        <item x="13"/>
        <item x="14"/>
        <item x="11"/>
        <item x="19"/>
        <item t="default"/>
      </items>
    </pivotField>
    <pivotField showAll="0"/>
    <pivotField dataField="1" numFmtId="165" showAll="0"/>
    <pivotField numFmtId="165"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Expense" fld="4" baseField="0" baseItem="0" numFmtId="165"/>
  </dataFields>
  <chartFormats count="22">
    <chartFormat chart="0" format="0" series="1">
      <pivotArea type="data" outline="0" fieldPosition="0">
        <references count="1">
          <reference field="4294967294" count="1" selected="0">
            <x v="0"/>
          </reference>
        </references>
      </pivotArea>
    </chartFormat>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2" count="1" selected="0">
            <x v="0"/>
          </reference>
        </references>
      </pivotArea>
    </chartFormat>
    <chartFormat chart="3" format="24">
      <pivotArea type="data" outline="0" fieldPosition="0">
        <references count="2">
          <reference field="4294967294" count="1" selected="0">
            <x v="0"/>
          </reference>
          <reference field="2" count="1" selected="0">
            <x v="1"/>
          </reference>
        </references>
      </pivotArea>
    </chartFormat>
    <chartFormat chart="3" format="25">
      <pivotArea type="data" outline="0" fieldPosition="0">
        <references count="2">
          <reference field="4294967294" count="1" selected="0">
            <x v="0"/>
          </reference>
          <reference field="2" count="1" selected="0">
            <x v="2"/>
          </reference>
        </references>
      </pivotArea>
    </chartFormat>
    <chartFormat chart="3" format="26">
      <pivotArea type="data" outline="0" fieldPosition="0">
        <references count="2">
          <reference field="4294967294" count="1" selected="0">
            <x v="0"/>
          </reference>
          <reference field="2" count="1" selected="0">
            <x v="3"/>
          </reference>
        </references>
      </pivotArea>
    </chartFormat>
    <chartFormat chart="3" format="27">
      <pivotArea type="data" outline="0" fieldPosition="0">
        <references count="2">
          <reference field="4294967294" count="1" selected="0">
            <x v="0"/>
          </reference>
          <reference field="2" count="1" selected="0">
            <x v="4"/>
          </reference>
        </references>
      </pivotArea>
    </chartFormat>
    <chartFormat chart="3" format="28">
      <pivotArea type="data" outline="0" fieldPosition="0">
        <references count="2">
          <reference field="4294967294" count="1" selected="0">
            <x v="0"/>
          </reference>
          <reference field="2" count="1" selected="0">
            <x v="5"/>
          </reference>
        </references>
      </pivotArea>
    </chartFormat>
    <chartFormat chart="3" format="29">
      <pivotArea type="data" outline="0" fieldPosition="0">
        <references count="2">
          <reference field="4294967294" count="1" selected="0">
            <x v="0"/>
          </reference>
          <reference field="2" count="1" selected="0">
            <x v="6"/>
          </reference>
        </references>
      </pivotArea>
    </chartFormat>
    <chartFormat chart="3" format="30">
      <pivotArea type="data" outline="0" fieldPosition="0">
        <references count="2">
          <reference field="4294967294" count="1" selected="0">
            <x v="0"/>
          </reference>
          <reference field="2" count="1" selected="0">
            <x v="7"/>
          </reference>
        </references>
      </pivotArea>
    </chartFormat>
    <chartFormat chart="3" format="31">
      <pivotArea type="data" outline="0" fieldPosition="0">
        <references count="2">
          <reference field="4294967294" count="1" selected="0">
            <x v="0"/>
          </reference>
          <reference field="2" count="1" selected="0">
            <x v="8"/>
          </reference>
        </references>
      </pivotArea>
    </chartFormat>
    <chartFormat chart="3" format="32">
      <pivotArea type="data" outline="0" fieldPosition="0">
        <references count="2">
          <reference field="4294967294" count="1" selected="0">
            <x v="0"/>
          </reference>
          <reference field="2" count="1" selected="0">
            <x v="9"/>
          </reference>
        </references>
      </pivotArea>
    </chartFormat>
    <chartFormat chart="3" format="33">
      <pivotArea type="data" outline="0" fieldPosition="0">
        <references count="2">
          <reference field="4294967294" count="1" selected="0">
            <x v="0"/>
          </reference>
          <reference field="2" count="1" selected="0">
            <x v="10"/>
          </reference>
        </references>
      </pivotArea>
    </chartFormat>
    <chartFormat chart="3" format="34">
      <pivotArea type="data" outline="0" fieldPosition="0">
        <references count="2">
          <reference field="4294967294" count="1" selected="0">
            <x v="0"/>
          </reference>
          <reference field="2" count="1" selected="0">
            <x v="11"/>
          </reference>
        </references>
      </pivotArea>
    </chartFormat>
    <chartFormat chart="3" format="35">
      <pivotArea type="data" outline="0" fieldPosition="0">
        <references count="2">
          <reference field="4294967294" count="1" selected="0">
            <x v="0"/>
          </reference>
          <reference field="2" count="1" selected="0">
            <x v="12"/>
          </reference>
        </references>
      </pivotArea>
    </chartFormat>
    <chartFormat chart="3" format="36">
      <pivotArea type="data" outline="0" fieldPosition="0">
        <references count="2">
          <reference field="4294967294" count="1" selected="0">
            <x v="0"/>
          </reference>
          <reference field="2" count="1" selected="0">
            <x v="13"/>
          </reference>
        </references>
      </pivotArea>
    </chartFormat>
    <chartFormat chart="3" format="37">
      <pivotArea type="data" outline="0" fieldPosition="0">
        <references count="2">
          <reference field="4294967294" count="1" selected="0">
            <x v="0"/>
          </reference>
          <reference field="2" count="1" selected="0">
            <x v="14"/>
          </reference>
        </references>
      </pivotArea>
    </chartFormat>
    <chartFormat chart="3" format="38">
      <pivotArea type="data" outline="0" fieldPosition="0">
        <references count="2">
          <reference field="4294967294" count="1" selected="0">
            <x v="0"/>
          </reference>
          <reference field="2" count="1" selected="0">
            <x v="15"/>
          </reference>
        </references>
      </pivotArea>
    </chartFormat>
    <chartFormat chart="3" format="39">
      <pivotArea type="data" outline="0" fieldPosition="0">
        <references count="2">
          <reference field="4294967294" count="1" selected="0">
            <x v="0"/>
          </reference>
          <reference field="2" count="1" selected="0">
            <x v="16"/>
          </reference>
        </references>
      </pivotArea>
    </chartFormat>
    <chartFormat chart="3" format="40">
      <pivotArea type="data" outline="0" fieldPosition="0">
        <references count="2">
          <reference field="4294967294" count="1" selected="0">
            <x v="0"/>
          </reference>
          <reference field="2" count="1" selected="0">
            <x v="17"/>
          </reference>
        </references>
      </pivotArea>
    </chartFormat>
    <chartFormat chart="3" format="41">
      <pivotArea type="data" outline="0" fieldPosition="0">
        <references count="2">
          <reference field="4294967294" count="1" selected="0">
            <x v="0"/>
          </reference>
          <reference field="2" count="1" selected="0">
            <x v="18"/>
          </reference>
        </references>
      </pivotArea>
    </chartFormat>
    <chartFormat chart="3" format="42">
      <pivotArea type="data" outline="0" fieldPosition="0">
        <references count="2">
          <reference field="4294967294" count="1" selected="0">
            <x v="0"/>
          </reference>
          <reference field="2"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E7211C-0C64-4945-A9E9-55960602B24F}" name="PivotTable3"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4">
  <location ref="G3:H22" firstHeaderRow="1" firstDataRow="1" firstDataCol="1"/>
  <pivotFields count="8">
    <pivotField numFmtId="164" showAll="0">
      <items count="148">
        <item x="43"/>
        <item x="49"/>
        <item x="59"/>
        <item x="12"/>
        <item x="62"/>
        <item x="23"/>
        <item x="34"/>
        <item x="40"/>
        <item x="55"/>
        <item x="47"/>
        <item x="65"/>
        <item x="61"/>
        <item x="67"/>
        <item x="5"/>
        <item x="37"/>
        <item x="54"/>
        <item x="33"/>
        <item x="31"/>
        <item x="26"/>
        <item x="1"/>
        <item x="36"/>
        <item x="66"/>
        <item x="68"/>
        <item x="39"/>
        <item x="9"/>
        <item x="16"/>
        <item x="15"/>
        <item x="41"/>
        <item x="11"/>
        <item x="8"/>
        <item x="0"/>
        <item x="63"/>
        <item x="50"/>
        <item x="3"/>
        <item x="30"/>
        <item x="60"/>
        <item x="53"/>
        <item x="7"/>
        <item x="48"/>
        <item x="35"/>
        <item x="21"/>
        <item x="42"/>
        <item x="14"/>
        <item x="20"/>
        <item x="2"/>
        <item x="56"/>
        <item x="45"/>
        <item x="25"/>
        <item x="51"/>
        <item x="69"/>
        <item x="18"/>
        <item x="46"/>
        <item x="57"/>
        <item x="29"/>
        <item x="64"/>
        <item x="24"/>
        <item x="19"/>
        <item x="4"/>
        <item x="22"/>
        <item x="10"/>
        <item x="6"/>
        <item x="32"/>
        <item x="52"/>
        <item x="13"/>
        <item x="58"/>
        <item x="17"/>
        <item x="38"/>
        <item x="28"/>
        <item x="27"/>
        <item x="44"/>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axis="axisRow" showAll="0">
      <items count="19">
        <item x="4"/>
        <item x="5"/>
        <item x="9"/>
        <item x="3"/>
        <item x="17"/>
        <item x="11"/>
        <item x="0"/>
        <item x="7"/>
        <item x="14"/>
        <item x="6"/>
        <item x="1"/>
        <item x="15"/>
        <item x="16"/>
        <item x="13"/>
        <item x="2"/>
        <item x="10"/>
        <item x="8"/>
        <item x="12"/>
        <item t="default"/>
      </items>
    </pivotField>
    <pivotField showAll="0">
      <items count="21">
        <item x="8"/>
        <item x="5"/>
        <item x="10"/>
        <item x="15"/>
        <item x="17"/>
        <item x="18"/>
        <item x="7"/>
        <item x="9"/>
        <item x="16"/>
        <item x="6"/>
        <item x="2"/>
        <item x="0"/>
        <item x="4"/>
        <item x="1"/>
        <item x="12"/>
        <item x="3"/>
        <item x="13"/>
        <item x="14"/>
        <item x="11"/>
        <item x="19"/>
        <item t="default"/>
      </items>
    </pivotField>
    <pivotField showAll="0"/>
    <pivotField dataField="1" numFmtId="165" showAll="0"/>
    <pivotField numFmtId="165"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Expense" fld="4" baseField="0" baseItem="0" numFmtId="165"/>
  </dataFields>
  <chartFormats count="20">
    <chartFormat chart="0" format="0" series="1">
      <pivotArea type="data" outline="0" fieldPosition="0">
        <references count="1">
          <reference field="4294967294" count="1" selected="0">
            <x v="0"/>
          </reference>
        </references>
      </pivotArea>
    </chartFormat>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1" count="1" selected="0">
            <x v="0"/>
          </reference>
        </references>
      </pivotArea>
    </chartFormat>
    <chartFormat chart="3" format="22">
      <pivotArea type="data" outline="0" fieldPosition="0">
        <references count="2">
          <reference field="4294967294" count="1" selected="0">
            <x v="0"/>
          </reference>
          <reference field="1" count="1" selected="0">
            <x v="1"/>
          </reference>
        </references>
      </pivotArea>
    </chartFormat>
    <chartFormat chart="3" format="23">
      <pivotArea type="data" outline="0" fieldPosition="0">
        <references count="2">
          <reference field="4294967294" count="1" selected="0">
            <x v="0"/>
          </reference>
          <reference field="1" count="1" selected="0">
            <x v="2"/>
          </reference>
        </references>
      </pivotArea>
    </chartFormat>
    <chartFormat chart="3" format="24">
      <pivotArea type="data" outline="0" fieldPosition="0">
        <references count="2">
          <reference field="4294967294" count="1" selected="0">
            <x v="0"/>
          </reference>
          <reference field="1" count="1" selected="0">
            <x v="3"/>
          </reference>
        </references>
      </pivotArea>
    </chartFormat>
    <chartFormat chart="3" format="25">
      <pivotArea type="data" outline="0" fieldPosition="0">
        <references count="2">
          <reference field="4294967294" count="1" selected="0">
            <x v="0"/>
          </reference>
          <reference field="1" count="1" selected="0">
            <x v="4"/>
          </reference>
        </references>
      </pivotArea>
    </chartFormat>
    <chartFormat chart="3" format="26">
      <pivotArea type="data" outline="0" fieldPosition="0">
        <references count="2">
          <reference field="4294967294" count="1" selected="0">
            <x v="0"/>
          </reference>
          <reference field="1" count="1" selected="0">
            <x v="5"/>
          </reference>
        </references>
      </pivotArea>
    </chartFormat>
    <chartFormat chart="3" format="27">
      <pivotArea type="data" outline="0" fieldPosition="0">
        <references count="2">
          <reference field="4294967294" count="1" selected="0">
            <x v="0"/>
          </reference>
          <reference field="1" count="1" selected="0">
            <x v="6"/>
          </reference>
        </references>
      </pivotArea>
    </chartFormat>
    <chartFormat chart="3" format="28">
      <pivotArea type="data" outline="0" fieldPosition="0">
        <references count="2">
          <reference field="4294967294" count="1" selected="0">
            <x v="0"/>
          </reference>
          <reference field="1" count="1" selected="0">
            <x v="7"/>
          </reference>
        </references>
      </pivotArea>
    </chartFormat>
    <chartFormat chart="3" format="29">
      <pivotArea type="data" outline="0" fieldPosition="0">
        <references count="2">
          <reference field="4294967294" count="1" selected="0">
            <x v="0"/>
          </reference>
          <reference field="1" count="1" selected="0">
            <x v="8"/>
          </reference>
        </references>
      </pivotArea>
    </chartFormat>
    <chartFormat chart="3" format="30">
      <pivotArea type="data" outline="0" fieldPosition="0">
        <references count="2">
          <reference field="4294967294" count="1" selected="0">
            <x v="0"/>
          </reference>
          <reference field="1" count="1" selected="0">
            <x v="9"/>
          </reference>
        </references>
      </pivotArea>
    </chartFormat>
    <chartFormat chart="3" format="31">
      <pivotArea type="data" outline="0" fieldPosition="0">
        <references count="2">
          <reference field="4294967294" count="1" selected="0">
            <x v="0"/>
          </reference>
          <reference field="1" count="1" selected="0">
            <x v="10"/>
          </reference>
        </references>
      </pivotArea>
    </chartFormat>
    <chartFormat chart="3" format="32">
      <pivotArea type="data" outline="0" fieldPosition="0">
        <references count="2">
          <reference field="4294967294" count="1" selected="0">
            <x v="0"/>
          </reference>
          <reference field="1" count="1" selected="0">
            <x v="11"/>
          </reference>
        </references>
      </pivotArea>
    </chartFormat>
    <chartFormat chart="3" format="33">
      <pivotArea type="data" outline="0" fieldPosition="0">
        <references count="2">
          <reference field="4294967294" count="1" selected="0">
            <x v="0"/>
          </reference>
          <reference field="1" count="1" selected="0">
            <x v="12"/>
          </reference>
        </references>
      </pivotArea>
    </chartFormat>
    <chartFormat chart="3" format="34">
      <pivotArea type="data" outline="0" fieldPosition="0">
        <references count="2">
          <reference field="4294967294" count="1" selected="0">
            <x v="0"/>
          </reference>
          <reference field="1" count="1" selected="0">
            <x v="13"/>
          </reference>
        </references>
      </pivotArea>
    </chartFormat>
    <chartFormat chart="3" format="35">
      <pivotArea type="data" outline="0" fieldPosition="0">
        <references count="2">
          <reference field="4294967294" count="1" selected="0">
            <x v="0"/>
          </reference>
          <reference field="1" count="1" selected="0">
            <x v="14"/>
          </reference>
        </references>
      </pivotArea>
    </chartFormat>
    <chartFormat chart="3" format="36">
      <pivotArea type="data" outline="0" fieldPosition="0">
        <references count="2">
          <reference field="4294967294" count="1" selected="0">
            <x v="0"/>
          </reference>
          <reference field="1" count="1" selected="0">
            <x v="15"/>
          </reference>
        </references>
      </pivotArea>
    </chartFormat>
    <chartFormat chart="3" format="37">
      <pivotArea type="data" outline="0" fieldPosition="0">
        <references count="2">
          <reference field="4294967294" count="1" selected="0">
            <x v="0"/>
          </reference>
          <reference field="1" count="1" selected="0">
            <x v="16"/>
          </reference>
        </references>
      </pivotArea>
    </chartFormat>
    <chartFormat chart="3" format="38">
      <pivotArea type="data" outline="0" fieldPosition="0">
        <references count="2">
          <reference field="4294967294" count="1" selected="0">
            <x v="0"/>
          </reference>
          <reference field="1" count="1" selected="0">
            <x v="1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92A812-113A-4068-9ABD-2D77C2397A10}" name="PivotTable2"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4">
  <location ref="D3:E16" firstHeaderRow="1" firstDataRow="1" firstDataCol="1"/>
  <pivotFields count="8">
    <pivotField axis="axisRow" numFmtId="164" showAll="0">
      <items count="148">
        <item x="43"/>
        <item x="49"/>
        <item x="59"/>
        <item x="12"/>
        <item x="62"/>
        <item x="23"/>
        <item x="34"/>
        <item x="40"/>
        <item x="55"/>
        <item x="47"/>
        <item x="65"/>
        <item x="61"/>
        <item x="67"/>
        <item x="5"/>
        <item x="37"/>
        <item x="54"/>
        <item x="33"/>
        <item x="31"/>
        <item x="26"/>
        <item x="1"/>
        <item x="36"/>
        <item x="66"/>
        <item x="68"/>
        <item x="39"/>
        <item x="9"/>
        <item x="16"/>
        <item x="15"/>
        <item x="41"/>
        <item x="11"/>
        <item x="8"/>
        <item x="0"/>
        <item x="63"/>
        <item x="50"/>
        <item x="3"/>
        <item x="30"/>
        <item x="60"/>
        <item x="53"/>
        <item x="7"/>
        <item x="48"/>
        <item x="35"/>
        <item x="21"/>
        <item x="42"/>
        <item x="14"/>
        <item x="20"/>
        <item x="2"/>
        <item x="56"/>
        <item x="45"/>
        <item x="25"/>
        <item x="51"/>
        <item x="69"/>
        <item x="18"/>
        <item x="46"/>
        <item x="57"/>
        <item x="29"/>
        <item x="64"/>
        <item x="24"/>
        <item x="19"/>
        <item x="4"/>
        <item x="22"/>
        <item x="10"/>
        <item x="6"/>
        <item x="32"/>
        <item x="52"/>
        <item x="13"/>
        <item x="58"/>
        <item x="17"/>
        <item x="38"/>
        <item x="28"/>
        <item x="27"/>
        <item x="44"/>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showAll="0">
      <items count="19">
        <item x="4"/>
        <item x="5"/>
        <item x="9"/>
        <item x="3"/>
        <item x="17"/>
        <item x="11"/>
        <item x="0"/>
        <item x="7"/>
        <item x="14"/>
        <item x="6"/>
        <item x="1"/>
        <item x="15"/>
        <item x="16"/>
        <item x="13"/>
        <item x="2"/>
        <item x="10"/>
        <item x="8"/>
        <item x="12"/>
        <item t="default"/>
      </items>
    </pivotField>
    <pivotField showAll="0">
      <items count="21">
        <item x="8"/>
        <item x="5"/>
        <item x="10"/>
        <item x="15"/>
        <item x="17"/>
        <item x="18"/>
        <item x="7"/>
        <item x="9"/>
        <item x="16"/>
        <item x="6"/>
        <item x="2"/>
        <item x="0"/>
        <item x="4"/>
        <item x="1"/>
        <item x="12"/>
        <item x="3"/>
        <item x="13"/>
        <item x="14"/>
        <item x="11"/>
        <item x="19"/>
        <item t="default"/>
      </items>
    </pivotField>
    <pivotField showAll="0"/>
    <pivotField dataField="1" numFmtId="165" showAll="0"/>
    <pivotField numFmtId="165" showAll="0"/>
    <pivotField axis="axisRow"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7"/>
    <field x="6"/>
    <field x="0"/>
  </rowFields>
  <rowItems count="13">
    <i>
      <x v="1"/>
    </i>
    <i>
      <x v="2"/>
    </i>
    <i>
      <x v="3"/>
    </i>
    <i>
      <x v="4"/>
    </i>
    <i>
      <x v="5"/>
    </i>
    <i>
      <x v="6"/>
    </i>
    <i>
      <x v="7"/>
    </i>
    <i>
      <x v="8"/>
    </i>
    <i>
      <x v="9"/>
    </i>
    <i>
      <x v="10"/>
    </i>
    <i>
      <x v="11"/>
    </i>
    <i>
      <x v="12"/>
    </i>
    <i t="grand">
      <x/>
    </i>
  </rowItems>
  <colItems count="1">
    <i/>
  </colItems>
  <dataFields count="1">
    <dataField name="Sum of Expense" fld="4" baseField="0" baseItem="0" numFmtId="165"/>
  </dataFields>
  <chartFormats count="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5"/>
          </reference>
        </references>
      </pivotArea>
    </chartFormat>
    <chartFormat chart="3"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EEC56A7F-E357-466C-9128-E51A1D85761C}" sourceName="Months (Date)">
  <pivotTables>
    <pivotTable tabId="2" name="PivotTable1"/>
    <pivotTable tabId="2" name="PivotTable2"/>
    <pivotTable tabId="2" name="PivotTable3"/>
    <pivotTable tabId="2" name="PivotTable4"/>
  </pivotTables>
  <data>
    <tabular pivotCacheId="1450108951">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 xr10:uid="{B9DD8D6B-1D91-426D-B36F-BB0EBD9EE163}" sourceName="Description">
  <pivotTables>
    <pivotTable tabId="2" name="PivotTable1"/>
    <pivotTable tabId="2" name="PivotTable2"/>
    <pivotTable tabId="2" name="PivotTable3"/>
    <pivotTable tabId="2" name="PivotTable4"/>
  </pivotTables>
  <data>
    <tabular pivotCacheId="1450108951">
      <items count="20">
        <i x="8" s="1"/>
        <i x="5" s="1"/>
        <i x="10" s="1"/>
        <i x="15" s="1"/>
        <i x="17" s="1"/>
        <i x="18" s="1"/>
        <i x="7" s="1"/>
        <i x="9" s="1"/>
        <i x="16" s="1"/>
        <i x="6" s="1"/>
        <i x="2" s="1"/>
        <i x="0" s="1"/>
        <i x="4" s="1"/>
        <i x="1" s="1"/>
        <i x="12" s="1"/>
        <i x="3" s="1"/>
        <i x="13" s="1"/>
        <i x="14" s="1"/>
        <i x="11" s="1"/>
        <i x="1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F86B7CF-EFBC-4F0D-BB69-114E0ADB54F2}" sourceName="Category">
  <pivotTables>
    <pivotTable tabId="2" name="PivotTable1"/>
    <pivotTable tabId="2" name="PivotTable2"/>
    <pivotTable tabId="2" name="PivotTable3"/>
    <pivotTable tabId="2" name="PivotTable4"/>
  </pivotTables>
  <data>
    <tabular pivotCacheId="1450108951">
      <items count="18">
        <i x="4" s="1"/>
        <i x="5" s="1"/>
        <i x="9" s="1"/>
        <i x="3" s="1"/>
        <i x="17" s="1"/>
        <i x="11" s="1"/>
        <i x="0" s="1"/>
        <i x="7" s="1"/>
        <i x="14" s="1"/>
        <i x="6" s="1"/>
        <i x="1" s="1"/>
        <i x="15" s="1"/>
        <i x="16" s="1"/>
        <i x="13" s="1"/>
        <i x="2" s="1"/>
        <i x="10" s="1"/>
        <i x="8" s="1"/>
        <i x="1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nse" xr10:uid="{70E47C65-ED9A-48BB-9033-8BAD99311C84}" sourceName="Expense">
  <pivotTables>
    <pivotTable tabId="2" name="PivotTable5"/>
  </pivotTables>
  <data>
    <tabular pivotCacheId="269107325">
      <items count="127">
        <i x="6" s="1"/>
        <i x="35" s="1"/>
        <i x="19" s="1"/>
        <i x="11" s="1"/>
        <i x="41" s="1"/>
        <i x="104" s="1"/>
        <i x="15" s="1"/>
        <i x="20" s="1"/>
        <i x="99" s="1"/>
        <i x="97" s="1"/>
        <i x="66" s="1"/>
        <i x="109" s="1"/>
        <i x="33" s="1"/>
        <i x="34" s="1"/>
        <i x="121" s="1"/>
        <i x="61" s="1"/>
        <i x="59" s="1"/>
        <i x="67" s="1"/>
        <i x="64" s="1"/>
        <i x="68" s="1"/>
        <i x="26" s="1"/>
        <i x="51" s="1"/>
        <i x="72" s="1"/>
        <i x="47" s="1"/>
        <i x="37" s="1"/>
        <i x="87" s="1"/>
        <i x="102" s="1"/>
        <i x="91" s="1"/>
        <i x="70" s="1"/>
        <i x="17" s="1"/>
        <i x="60" s="1"/>
        <i x="32" s="1"/>
        <i x="107" s="1"/>
        <i x="124" s="1"/>
        <i x="88" s="1"/>
        <i x="46" s="1"/>
        <i x="115" s="1"/>
        <i x="4" s="1"/>
        <i x="39" s="1"/>
        <i x="126" s="1"/>
        <i x="29" s="1"/>
        <i x="117" s="1"/>
        <i x="1" s="1"/>
        <i x="18" s="1"/>
        <i x="65" s="1"/>
        <i x="62" s="1"/>
        <i x="3" s="1"/>
        <i x="52" s="1"/>
        <i x="31" s="1"/>
        <i x="23" s="1"/>
        <i x="49" s="1"/>
        <i x="58" s="1"/>
        <i x="27" s="1"/>
        <i x="92" s="1"/>
        <i x="71" s="1"/>
        <i x="94" s="1"/>
        <i x="100" s="1"/>
        <i x="16" s="1"/>
        <i x="108" s="1"/>
        <i x="84" s="1"/>
        <i x="9" s="1"/>
        <i x="36" s="1"/>
        <i x="111" s="1"/>
        <i x="53" s="1"/>
        <i x="42" s="1"/>
        <i x="125" s="1"/>
        <i x="89" s="1"/>
        <i x="93" s="1"/>
        <i x="56" s="1"/>
        <i x="38" s="1"/>
        <i x="10" s="1"/>
        <i x="13" s="1"/>
        <i x="5" s="1"/>
        <i x="2" s="1"/>
        <i x="24" s="1"/>
        <i x="85" s="1"/>
        <i x="40" s="1"/>
        <i x="95" s="1"/>
        <i x="78" s="1"/>
        <i x="123" s="1"/>
        <i x="76" s="1"/>
        <i x="77" s="1"/>
        <i x="43" s="1"/>
        <i x="54" s="1"/>
        <i x="73" s="1"/>
        <i x="81" s="1"/>
        <i x="7" s="1"/>
        <i x="44" s="1"/>
        <i x="48" s="1"/>
        <i x="25" s="1"/>
        <i x="28" s="1"/>
        <i x="22" s="1"/>
        <i x="63" s="1"/>
        <i x="0" s="1"/>
        <i x="86" s="1"/>
        <i x="8" s="1"/>
        <i x="112" s="1"/>
        <i x="55" s="1"/>
        <i x="14" s="1"/>
        <i x="105" s="1"/>
        <i x="69" s="1"/>
        <i x="120" s="1"/>
        <i x="50" s="1"/>
        <i x="96" s="1"/>
        <i x="103" s="1"/>
        <i x="45" s="1"/>
        <i x="57" s="1"/>
        <i x="12" s="1"/>
        <i x="113" s="1"/>
        <i x="21" s="1"/>
        <i x="83" s="1"/>
        <i x="106" s="1"/>
        <i x="30" s="1"/>
        <i x="119" s="1"/>
        <i x="122" s="1"/>
        <i x="114" s="1"/>
        <i x="101" s="1"/>
        <i x="110" s="1"/>
        <i x="116" s="1"/>
        <i x="98" s="1"/>
        <i x="82" s="1"/>
        <i x="118" s="1"/>
        <i x="75" s="1"/>
        <i x="80" s="1"/>
        <i x="79" s="1"/>
        <i x="90" s="1"/>
        <i x="7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7BC9BA0-BF81-485C-A900-550C5414310F}" sourceName="payment Method">
  <pivotTables>
    <pivotTable tabId="2" name="PivotTable5"/>
  </pivotTables>
  <data>
    <tabular pivotCacheId="269107325">
      <items count="5">
        <i x="0" s="1"/>
        <i x="3" s="1"/>
        <i x="2"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pense" xr10:uid="{B25D1887-D4F0-4717-AF0E-7907BFCD0C5A}" cache="Slicer_Expense" caption="Expens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B328C56C-2677-416B-B582-28710A56943F}" cache="Slicer_Months__Date" caption="Months (Date)" columnCount="4" rowHeight="241300"/>
  <slicer name="Description" xr10:uid="{A5D0F01A-D192-4C8E-B738-9F9090FF9605}" cache="Slicer_Description" caption="Description" startItem="16" rowHeight="241300"/>
  <slicer name="Category" xr10:uid="{F0B8B1A1-2947-407E-8AFA-9B1DA031B8B6}" cache="Slicer_Category" caption="Category" startItem="10" rowHeight="241300"/>
  <slicer name="payment Method" xr10:uid="{2E6C2C2A-9641-47BD-9E60-0559BD8933EC}" cache="Slicer_payment_Method" caption="payment Meth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0B64F2-B556-4FC5-B7FA-C3F28DF7EBD1}" name="Table1" displayName="Table1" ref="A1:I202" totalsRowShown="0" headerRowDxfId="8" headerRowBorderDxfId="7" tableBorderDxfId="6" headerRowCellStyle="60% - Accent1">
  <autoFilter ref="A1:I202" xr:uid="{990B64F2-B556-4FC5-B7FA-C3F28DF7EBD1}"/>
  <tableColumns count="9">
    <tableColumn id="1" xr3:uid="{0755537C-EB9F-4012-8B0D-DE8F7D41FE6A}" name="Date" dataDxfId="5"/>
    <tableColumn id="2" xr3:uid="{544A8244-4B10-45A5-81BE-CDDC0867DB61}" name="Category"/>
    <tableColumn id="3" xr3:uid="{DA7636DF-A729-4794-8A91-485EE9999E28}" name="Description"/>
    <tableColumn id="4" xr3:uid="{2B15B20D-7DC7-49D1-ADEE-19C4E5534259}" name="Income" dataDxfId="4"/>
    <tableColumn id="5" xr3:uid="{42911B66-75CC-44C5-820A-44865692D577}" name="Expense" dataDxfId="3"/>
    <tableColumn id="6" xr3:uid="{CA60F3E3-9C7F-4341-A798-216C741EBA24}" name="Balance" dataDxfId="2"/>
    <tableColumn id="7" xr3:uid="{7D12B830-FE63-4611-8867-F6EA6EB9BED0}" name="payment Method"/>
    <tableColumn id="8" xr3:uid="{D61CD5E3-96B6-4A6B-A6B4-B3B5D2BCD1F3}" name="Account/Source"/>
    <tableColumn id="9" xr3:uid="{4D459F54-0D03-4879-8715-3EE518C10951}" name="Typ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2"/>
  <sheetViews>
    <sheetView topLeftCell="A71" workbookViewId="0">
      <selection activeCell="D11" sqref="D11"/>
    </sheetView>
  </sheetViews>
  <sheetFormatPr defaultRowHeight="15" x14ac:dyDescent="0.25"/>
  <cols>
    <col min="1" max="1" width="21.85546875" style="2" customWidth="1"/>
    <col min="2" max="2" width="19" customWidth="1"/>
    <col min="3" max="3" width="23.7109375" customWidth="1"/>
    <col min="4" max="4" width="16.7109375" style="3" customWidth="1"/>
    <col min="5" max="5" width="14.85546875" style="3" customWidth="1"/>
    <col min="6" max="6" width="17.140625" style="3" customWidth="1"/>
    <col min="7" max="7" width="18.5703125" customWidth="1"/>
    <col min="8" max="8" width="19" customWidth="1"/>
    <col min="9" max="9" width="15.7109375" customWidth="1"/>
    <col min="10" max="10" width="16" customWidth="1"/>
  </cols>
  <sheetData>
    <row r="1" spans="1:9" x14ac:dyDescent="0.25">
      <c r="A1" s="5" t="s">
        <v>0</v>
      </c>
      <c r="B1" s="6" t="s">
        <v>1</v>
      </c>
      <c r="C1" s="6" t="s">
        <v>2</v>
      </c>
      <c r="D1" s="7" t="s">
        <v>3</v>
      </c>
      <c r="E1" s="7" t="s">
        <v>4</v>
      </c>
      <c r="F1" s="7" t="s">
        <v>5</v>
      </c>
      <c r="G1" s="7" t="s">
        <v>55</v>
      </c>
      <c r="H1" s="7" t="s">
        <v>56</v>
      </c>
      <c r="I1" s="7" t="s">
        <v>57</v>
      </c>
    </row>
    <row r="2" spans="1:9" x14ac:dyDescent="0.25">
      <c r="A2" s="1">
        <v>45756</v>
      </c>
      <c r="B2" t="s">
        <v>6</v>
      </c>
      <c r="C2" t="s">
        <v>24</v>
      </c>
      <c r="D2" s="3">
        <v>0</v>
      </c>
      <c r="E2" s="3">
        <v>15793</v>
      </c>
      <c r="F2" s="3">
        <v>-15793</v>
      </c>
      <c r="G2" t="s">
        <v>58</v>
      </c>
      <c r="H2" t="s">
        <v>65</v>
      </c>
      <c r="I2" t="s">
        <v>63</v>
      </c>
    </row>
    <row r="3" spans="1:9" x14ac:dyDescent="0.25">
      <c r="A3" s="1">
        <v>45728</v>
      </c>
      <c r="B3" t="s">
        <v>7</v>
      </c>
      <c r="C3" t="s">
        <v>25</v>
      </c>
      <c r="D3" s="3">
        <v>0</v>
      </c>
      <c r="E3" s="3">
        <v>7420</v>
      </c>
      <c r="F3" s="3">
        <v>-23213</v>
      </c>
      <c r="G3" t="s">
        <v>59</v>
      </c>
      <c r="H3" t="s">
        <v>66</v>
      </c>
      <c r="I3" t="s">
        <v>64</v>
      </c>
    </row>
    <row r="4" spans="1:9" x14ac:dyDescent="0.25">
      <c r="A4" s="1">
        <v>45794</v>
      </c>
      <c r="B4" t="s">
        <v>8</v>
      </c>
      <c r="C4" t="s">
        <v>26</v>
      </c>
      <c r="D4" s="3">
        <v>0</v>
      </c>
      <c r="E4" s="3">
        <v>12784</v>
      </c>
      <c r="F4" s="3">
        <v>-35997</v>
      </c>
      <c r="G4" t="s">
        <v>60</v>
      </c>
      <c r="H4" t="s">
        <v>67</v>
      </c>
      <c r="I4" t="s">
        <v>12</v>
      </c>
    </row>
    <row r="5" spans="1:9" x14ac:dyDescent="0.25">
      <c r="A5" s="1">
        <v>45765</v>
      </c>
      <c r="B5" t="s">
        <v>9</v>
      </c>
      <c r="C5" t="s">
        <v>25</v>
      </c>
      <c r="D5" s="3">
        <v>0</v>
      </c>
      <c r="E5" s="3">
        <v>7876</v>
      </c>
      <c r="F5" s="3">
        <v>-43873</v>
      </c>
      <c r="G5" t="s">
        <v>61</v>
      </c>
      <c r="H5" t="s">
        <v>69</v>
      </c>
      <c r="I5" t="s">
        <v>63</v>
      </c>
    </row>
    <row r="6" spans="1:9" x14ac:dyDescent="0.25">
      <c r="A6" s="1">
        <v>45826</v>
      </c>
      <c r="B6" t="s">
        <v>6</v>
      </c>
      <c r="C6" t="s">
        <v>24</v>
      </c>
      <c r="D6" s="3">
        <v>0</v>
      </c>
      <c r="E6" s="3">
        <v>6628</v>
      </c>
      <c r="F6" s="3">
        <v>-50501</v>
      </c>
      <c r="G6" t="s">
        <v>62</v>
      </c>
      <c r="H6" t="s">
        <v>68</v>
      </c>
      <c r="I6" t="s">
        <v>64</v>
      </c>
    </row>
    <row r="7" spans="1:9" x14ac:dyDescent="0.25">
      <c r="A7" s="1">
        <v>45712</v>
      </c>
      <c r="B7" t="s">
        <v>10</v>
      </c>
      <c r="C7" t="s">
        <v>27</v>
      </c>
      <c r="D7" s="3">
        <v>0</v>
      </c>
      <c r="E7" s="3">
        <v>12693</v>
      </c>
      <c r="F7" s="3">
        <v>-63194</v>
      </c>
      <c r="G7" t="s">
        <v>58</v>
      </c>
      <c r="H7" t="s">
        <v>65</v>
      </c>
      <c r="I7" t="s">
        <v>12</v>
      </c>
    </row>
    <row r="8" spans="1:9" x14ac:dyDescent="0.25">
      <c r="A8" s="1">
        <v>45838</v>
      </c>
      <c r="B8" t="s">
        <v>11</v>
      </c>
      <c r="C8" t="s">
        <v>28</v>
      </c>
      <c r="D8" s="3">
        <v>16463</v>
      </c>
      <c r="E8" s="3">
        <v>0</v>
      </c>
      <c r="F8" s="3">
        <v>-46731</v>
      </c>
      <c r="G8" t="s">
        <v>59</v>
      </c>
      <c r="H8" t="s">
        <v>66</v>
      </c>
      <c r="I8" t="s">
        <v>63</v>
      </c>
    </row>
    <row r="9" spans="1:9" x14ac:dyDescent="0.25">
      <c r="A9" s="1">
        <v>45770</v>
      </c>
      <c r="B9" t="s">
        <v>12</v>
      </c>
      <c r="C9" t="s">
        <v>29</v>
      </c>
      <c r="D9" s="3">
        <v>8712</v>
      </c>
      <c r="E9" s="3">
        <v>0</v>
      </c>
      <c r="F9" s="3">
        <v>-38019</v>
      </c>
      <c r="G9" t="s">
        <v>60</v>
      </c>
      <c r="H9" t="s">
        <v>67</v>
      </c>
      <c r="I9" t="s">
        <v>64</v>
      </c>
    </row>
    <row r="10" spans="1:9" x14ac:dyDescent="0.25">
      <c r="A10" s="1">
        <v>45753</v>
      </c>
      <c r="B10" t="s">
        <v>13</v>
      </c>
      <c r="C10" t="s">
        <v>25</v>
      </c>
      <c r="D10" s="3">
        <v>0</v>
      </c>
      <c r="E10" s="3">
        <v>14589</v>
      </c>
      <c r="F10" s="3">
        <v>-52608</v>
      </c>
      <c r="G10" t="s">
        <v>61</v>
      </c>
      <c r="H10" t="s">
        <v>69</v>
      </c>
      <c r="I10" t="s">
        <v>12</v>
      </c>
    </row>
    <row r="11" spans="1:9" x14ac:dyDescent="0.25">
      <c r="A11" s="1">
        <v>45736</v>
      </c>
      <c r="B11" t="s">
        <v>6</v>
      </c>
      <c r="C11" t="s">
        <v>30</v>
      </c>
      <c r="D11" s="3">
        <v>0</v>
      </c>
      <c r="E11" s="3">
        <v>16073</v>
      </c>
      <c r="F11" s="3">
        <v>-68681</v>
      </c>
      <c r="G11" t="s">
        <v>62</v>
      </c>
      <c r="H11" t="s">
        <v>68</v>
      </c>
      <c r="I11" t="s">
        <v>63</v>
      </c>
    </row>
    <row r="12" spans="1:9" x14ac:dyDescent="0.25">
      <c r="A12" s="1">
        <v>45837</v>
      </c>
      <c r="B12" t="s">
        <v>6</v>
      </c>
      <c r="C12" t="s">
        <v>31</v>
      </c>
      <c r="D12" s="3">
        <v>0</v>
      </c>
      <c r="E12" s="3">
        <v>10565</v>
      </c>
      <c r="F12" s="3">
        <v>-79246</v>
      </c>
      <c r="G12" t="s">
        <v>58</v>
      </c>
      <c r="H12" t="s">
        <v>65</v>
      </c>
      <c r="I12" t="s">
        <v>64</v>
      </c>
    </row>
    <row r="13" spans="1:9" x14ac:dyDescent="0.25">
      <c r="A13" s="1">
        <v>45752</v>
      </c>
      <c r="B13" t="s">
        <v>12</v>
      </c>
      <c r="C13" t="s">
        <v>31</v>
      </c>
      <c r="D13" s="3">
        <v>43556</v>
      </c>
      <c r="E13" s="3">
        <v>0</v>
      </c>
      <c r="F13" s="3">
        <v>-35690</v>
      </c>
      <c r="G13" t="s">
        <v>59</v>
      </c>
      <c r="H13" t="s">
        <v>66</v>
      </c>
      <c r="I13" t="s">
        <v>12</v>
      </c>
    </row>
    <row r="14" spans="1:9" x14ac:dyDescent="0.25">
      <c r="A14" s="1">
        <v>45666</v>
      </c>
      <c r="B14" t="s">
        <v>7</v>
      </c>
      <c r="C14" t="s">
        <v>32</v>
      </c>
      <c r="D14" s="3">
        <v>0</v>
      </c>
      <c r="E14" s="3">
        <v>12290</v>
      </c>
      <c r="F14" s="3">
        <v>-47980</v>
      </c>
      <c r="G14" t="s">
        <v>60</v>
      </c>
      <c r="H14" t="s">
        <v>67</v>
      </c>
      <c r="I14" t="s">
        <v>63</v>
      </c>
    </row>
    <row r="15" spans="1:9" x14ac:dyDescent="0.25">
      <c r="A15" s="1">
        <v>45847</v>
      </c>
      <c r="B15" t="s">
        <v>9</v>
      </c>
      <c r="C15" t="s">
        <v>33</v>
      </c>
      <c r="D15" s="3">
        <v>0</v>
      </c>
      <c r="E15" s="3">
        <v>632</v>
      </c>
      <c r="F15" s="3">
        <v>-48612</v>
      </c>
      <c r="G15" t="s">
        <v>61</v>
      </c>
      <c r="H15" t="s">
        <v>69</v>
      </c>
      <c r="I15" t="s">
        <v>64</v>
      </c>
    </row>
    <row r="16" spans="1:9" x14ac:dyDescent="0.25">
      <c r="A16" s="1">
        <v>45790</v>
      </c>
      <c r="B16" t="s">
        <v>14</v>
      </c>
      <c r="C16" t="s">
        <v>34</v>
      </c>
      <c r="D16" s="3">
        <v>0</v>
      </c>
      <c r="E16" s="3">
        <v>19502</v>
      </c>
      <c r="F16" s="3">
        <v>-68114</v>
      </c>
      <c r="G16" t="s">
        <v>62</v>
      </c>
      <c r="H16" t="s">
        <v>68</v>
      </c>
      <c r="I16" t="s">
        <v>12</v>
      </c>
    </row>
    <row r="17" spans="1:9" x14ac:dyDescent="0.25">
      <c r="A17" s="1">
        <v>45742</v>
      </c>
      <c r="B17" t="s">
        <v>10</v>
      </c>
      <c r="C17" t="s">
        <v>35</v>
      </c>
      <c r="D17" s="3">
        <v>0</v>
      </c>
      <c r="E17" s="3">
        <v>12417</v>
      </c>
      <c r="F17" s="3">
        <v>-80531</v>
      </c>
      <c r="G17" t="s">
        <v>58</v>
      </c>
      <c r="H17" t="s">
        <v>65</v>
      </c>
      <c r="I17" t="s">
        <v>63</v>
      </c>
    </row>
    <row r="18" spans="1:9" x14ac:dyDescent="0.25">
      <c r="A18" s="1">
        <v>45737</v>
      </c>
      <c r="B18" t="s">
        <v>8</v>
      </c>
      <c r="C18" t="s">
        <v>27</v>
      </c>
      <c r="D18" s="3">
        <v>0</v>
      </c>
      <c r="E18" s="3">
        <v>17020</v>
      </c>
      <c r="F18" s="3">
        <v>-97551</v>
      </c>
      <c r="G18" t="s">
        <v>59</v>
      </c>
      <c r="H18" t="s">
        <v>66</v>
      </c>
      <c r="I18" t="s">
        <v>64</v>
      </c>
    </row>
    <row r="19" spans="1:9" x14ac:dyDescent="0.25">
      <c r="A19" s="1">
        <v>45790</v>
      </c>
      <c r="B19" t="s">
        <v>13</v>
      </c>
      <c r="C19" t="s">
        <v>36</v>
      </c>
      <c r="D19" s="3">
        <v>0</v>
      </c>
      <c r="E19" s="3">
        <v>1241</v>
      </c>
      <c r="F19" s="3">
        <v>-98792</v>
      </c>
      <c r="G19" t="s">
        <v>60</v>
      </c>
      <c r="H19" t="s">
        <v>67</v>
      </c>
      <c r="I19" t="s">
        <v>12</v>
      </c>
    </row>
    <row r="20" spans="1:9" x14ac:dyDescent="0.25">
      <c r="A20" s="1">
        <v>45851</v>
      </c>
      <c r="B20" t="s">
        <v>10</v>
      </c>
      <c r="C20" t="s">
        <v>25</v>
      </c>
      <c r="D20" s="3">
        <v>0</v>
      </c>
      <c r="E20" s="3">
        <v>10179</v>
      </c>
      <c r="F20" s="3">
        <v>-108971</v>
      </c>
      <c r="G20" t="s">
        <v>61</v>
      </c>
      <c r="H20" t="s">
        <v>69</v>
      </c>
      <c r="I20" t="s">
        <v>63</v>
      </c>
    </row>
    <row r="21" spans="1:9" x14ac:dyDescent="0.25">
      <c r="A21" s="1">
        <v>45806</v>
      </c>
      <c r="B21" t="s">
        <v>15</v>
      </c>
      <c r="C21" t="s">
        <v>34</v>
      </c>
      <c r="D21" s="3">
        <v>0</v>
      </c>
      <c r="E21" s="3">
        <v>5982</v>
      </c>
      <c r="F21" s="3">
        <v>-114953</v>
      </c>
      <c r="G21" t="s">
        <v>62</v>
      </c>
      <c r="H21" t="s">
        <v>68</v>
      </c>
      <c r="I21" t="s">
        <v>64</v>
      </c>
    </row>
    <row r="22" spans="1:9" x14ac:dyDescent="0.25">
      <c r="A22" s="1">
        <v>45825</v>
      </c>
      <c r="B22" t="s">
        <v>16</v>
      </c>
      <c r="C22" t="s">
        <v>29</v>
      </c>
      <c r="D22" s="3">
        <v>0</v>
      </c>
      <c r="E22" s="3">
        <v>7811</v>
      </c>
      <c r="F22" s="3">
        <v>-122764</v>
      </c>
      <c r="G22" t="s">
        <v>58</v>
      </c>
      <c r="H22" t="s">
        <v>65</v>
      </c>
      <c r="I22" t="s">
        <v>12</v>
      </c>
    </row>
    <row r="23" spans="1:9" x14ac:dyDescent="0.25">
      <c r="A23" s="1">
        <v>45791</v>
      </c>
      <c r="B23" t="s">
        <v>17</v>
      </c>
      <c r="C23" t="s">
        <v>30</v>
      </c>
      <c r="D23" s="3">
        <v>7410</v>
      </c>
      <c r="E23" s="3">
        <v>0</v>
      </c>
      <c r="F23" s="3">
        <v>-115354</v>
      </c>
      <c r="G23" t="s">
        <v>59</v>
      </c>
      <c r="H23" t="s">
        <v>66</v>
      </c>
      <c r="I23" t="s">
        <v>63</v>
      </c>
    </row>
    <row r="24" spans="1:9" x14ac:dyDescent="0.25">
      <c r="A24" s="1">
        <v>45785</v>
      </c>
      <c r="B24" t="s">
        <v>15</v>
      </c>
      <c r="C24" t="s">
        <v>28</v>
      </c>
      <c r="D24" s="3">
        <v>0</v>
      </c>
      <c r="E24" s="3">
        <v>502</v>
      </c>
      <c r="F24" s="3">
        <v>-115856</v>
      </c>
      <c r="G24" t="s">
        <v>60</v>
      </c>
      <c r="H24" t="s">
        <v>67</v>
      </c>
      <c r="I24" t="s">
        <v>64</v>
      </c>
    </row>
    <row r="25" spans="1:9" x14ac:dyDescent="0.25">
      <c r="A25" s="1">
        <v>45834</v>
      </c>
      <c r="B25" t="s">
        <v>18</v>
      </c>
      <c r="C25" t="s">
        <v>37</v>
      </c>
      <c r="D25" s="3">
        <v>0</v>
      </c>
      <c r="E25" s="3">
        <v>2104</v>
      </c>
      <c r="F25" s="3">
        <v>-117960</v>
      </c>
      <c r="G25" t="s">
        <v>61</v>
      </c>
      <c r="H25" t="s">
        <v>69</v>
      </c>
      <c r="I25" t="s">
        <v>12</v>
      </c>
    </row>
    <row r="26" spans="1:9" x14ac:dyDescent="0.25">
      <c r="A26" s="1">
        <v>45673</v>
      </c>
      <c r="B26" t="s">
        <v>12</v>
      </c>
      <c r="C26" t="s">
        <v>28</v>
      </c>
      <c r="D26" s="3">
        <v>18480</v>
      </c>
      <c r="E26" s="3">
        <v>0</v>
      </c>
      <c r="F26" s="3">
        <v>-99480</v>
      </c>
      <c r="G26" t="s">
        <v>62</v>
      </c>
      <c r="H26" t="s">
        <v>68</v>
      </c>
      <c r="I26" t="s">
        <v>63</v>
      </c>
    </row>
    <row r="27" spans="1:9" x14ac:dyDescent="0.25">
      <c r="A27" s="1">
        <v>45822</v>
      </c>
      <c r="B27" t="s">
        <v>10</v>
      </c>
      <c r="C27" t="s">
        <v>25</v>
      </c>
      <c r="D27" s="3">
        <v>0</v>
      </c>
      <c r="E27" s="3">
        <v>19726</v>
      </c>
      <c r="F27" s="3">
        <v>-119206</v>
      </c>
      <c r="G27" t="s">
        <v>58</v>
      </c>
      <c r="H27" t="s">
        <v>65</v>
      </c>
      <c r="I27" t="s">
        <v>64</v>
      </c>
    </row>
    <row r="28" spans="1:9" x14ac:dyDescent="0.25">
      <c r="A28" s="1">
        <v>45801</v>
      </c>
      <c r="B28" t="s">
        <v>8</v>
      </c>
      <c r="C28" t="s">
        <v>28</v>
      </c>
      <c r="D28" s="3">
        <v>0</v>
      </c>
      <c r="E28" s="3">
        <v>15422</v>
      </c>
      <c r="F28" s="3">
        <v>-134628</v>
      </c>
      <c r="G28" t="s">
        <v>59</v>
      </c>
      <c r="H28" t="s">
        <v>66</v>
      </c>
      <c r="I28" t="s">
        <v>12</v>
      </c>
    </row>
    <row r="29" spans="1:9" x14ac:dyDescent="0.25">
      <c r="A29" s="1">
        <v>45719</v>
      </c>
      <c r="B29" t="s">
        <v>9</v>
      </c>
      <c r="C29" t="s">
        <v>25</v>
      </c>
      <c r="D29" s="3">
        <v>0</v>
      </c>
      <c r="E29" s="3">
        <v>8508</v>
      </c>
      <c r="F29" s="3">
        <v>-143136</v>
      </c>
      <c r="G29" t="s">
        <v>60</v>
      </c>
      <c r="H29" t="s">
        <v>67</v>
      </c>
      <c r="I29" t="s">
        <v>63</v>
      </c>
    </row>
    <row r="30" spans="1:9" x14ac:dyDescent="0.25">
      <c r="A30" s="1">
        <v>45857</v>
      </c>
      <c r="B30" t="s">
        <v>12</v>
      </c>
      <c r="C30" t="s">
        <v>37</v>
      </c>
      <c r="D30" s="3">
        <v>9098</v>
      </c>
      <c r="E30" s="3">
        <v>0</v>
      </c>
      <c r="F30" s="3">
        <v>-134038</v>
      </c>
      <c r="G30" t="s">
        <v>61</v>
      </c>
      <c r="H30" t="s">
        <v>69</v>
      </c>
      <c r="I30" t="s">
        <v>64</v>
      </c>
    </row>
    <row r="31" spans="1:9" x14ac:dyDescent="0.25">
      <c r="A31" s="1">
        <v>45854</v>
      </c>
      <c r="B31" t="s">
        <v>19</v>
      </c>
      <c r="C31" t="s">
        <v>34</v>
      </c>
      <c r="D31" s="3">
        <v>52156</v>
      </c>
      <c r="E31" s="3">
        <v>0</v>
      </c>
      <c r="F31" s="3">
        <v>-81882</v>
      </c>
      <c r="G31" t="s">
        <v>62</v>
      </c>
      <c r="H31" t="s">
        <v>68</v>
      </c>
      <c r="I31" t="s">
        <v>12</v>
      </c>
    </row>
    <row r="32" spans="1:9" x14ac:dyDescent="0.25">
      <c r="A32" s="1">
        <v>45816</v>
      </c>
      <c r="B32" t="s">
        <v>13</v>
      </c>
      <c r="C32" t="s">
        <v>35</v>
      </c>
      <c r="D32" s="3">
        <v>0</v>
      </c>
      <c r="E32" s="3">
        <v>13228</v>
      </c>
      <c r="F32" s="3">
        <v>-95110</v>
      </c>
      <c r="G32" t="s">
        <v>58</v>
      </c>
      <c r="H32" t="s">
        <v>65</v>
      </c>
      <c r="I32" t="s">
        <v>63</v>
      </c>
    </row>
    <row r="33" spans="1:9" x14ac:dyDescent="0.25">
      <c r="A33" s="1">
        <v>45766</v>
      </c>
      <c r="B33" t="s">
        <v>11</v>
      </c>
      <c r="C33" t="s">
        <v>30</v>
      </c>
      <c r="D33" s="3">
        <v>29121</v>
      </c>
      <c r="E33" s="3">
        <v>0</v>
      </c>
      <c r="F33" s="3">
        <v>-65989</v>
      </c>
      <c r="G33" t="s">
        <v>59</v>
      </c>
      <c r="H33" t="s">
        <v>66</v>
      </c>
      <c r="I33" t="s">
        <v>64</v>
      </c>
    </row>
    <row r="34" spans="1:9" x14ac:dyDescent="0.25">
      <c r="A34" s="1">
        <v>45736</v>
      </c>
      <c r="B34" t="s">
        <v>12</v>
      </c>
      <c r="C34" t="s">
        <v>33</v>
      </c>
      <c r="D34" s="3">
        <v>26173</v>
      </c>
      <c r="E34" s="3">
        <v>0</v>
      </c>
      <c r="F34" s="3">
        <v>-39816</v>
      </c>
      <c r="G34" t="s">
        <v>60</v>
      </c>
      <c r="H34" t="s">
        <v>67</v>
      </c>
      <c r="I34" t="s">
        <v>12</v>
      </c>
    </row>
    <row r="35" spans="1:9" x14ac:dyDescent="0.25">
      <c r="A35" s="1">
        <v>45717</v>
      </c>
      <c r="B35" t="s">
        <v>20</v>
      </c>
      <c r="C35" t="s">
        <v>33</v>
      </c>
      <c r="D35" s="3">
        <v>0</v>
      </c>
      <c r="E35" s="3">
        <v>15271</v>
      </c>
      <c r="F35" s="3">
        <v>-55087</v>
      </c>
      <c r="G35" t="s">
        <v>61</v>
      </c>
      <c r="H35" t="s">
        <v>69</v>
      </c>
      <c r="I35" t="s">
        <v>63</v>
      </c>
    </row>
    <row r="36" spans="1:9" x14ac:dyDescent="0.25">
      <c r="A36" s="1">
        <v>45841</v>
      </c>
      <c r="B36" t="s">
        <v>17</v>
      </c>
      <c r="C36" t="s">
        <v>25</v>
      </c>
      <c r="D36" s="3">
        <v>20432</v>
      </c>
      <c r="E36" s="3">
        <v>0</v>
      </c>
      <c r="F36" s="3">
        <v>-34655</v>
      </c>
      <c r="G36" t="s">
        <v>62</v>
      </c>
      <c r="H36" t="s">
        <v>68</v>
      </c>
      <c r="I36" t="s">
        <v>64</v>
      </c>
    </row>
    <row r="37" spans="1:9" x14ac:dyDescent="0.25">
      <c r="A37" s="1">
        <v>45742</v>
      </c>
      <c r="B37" t="s">
        <v>10</v>
      </c>
      <c r="C37" t="s">
        <v>25</v>
      </c>
      <c r="D37" s="3">
        <v>0</v>
      </c>
      <c r="E37" s="3">
        <v>4228</v>
      </c>
      <c r="F37" s="3">
        <v>-38883</v>
      </c>
      <c r="G37" t="s">
        <v>58</v>
      </c>
      <c r="H37" t="s">
        <v>65</v>
      </c>
      <c r="I37" t="s">
        <v>12</v>
      </c>
    </row>
    <row r="38" spans="1:9" x14ac:dyDescent="0.25">
      <c r="A38" s="1">
        <v>45715</v>
      </c>
      <c r="B38" t="s">
        <v>10</v>
      </c>
      <c r="C38" t="s">
        <v>24</v>
      </c>
      <c r="D38" s="3">
        <v>0</v>
      </c>
      <c r="E38" s="3">
        <v>8725</v>
      </c>
      <c r="F38" s="3">
        <v>-47608</v>
      </c>
      <c r="G38" t="s">
        <v>59</v>
      </c>
      <c r="H38" t="s">
        <v>66</v>
      </c>
      <c r="I38" t="s">
        <v>63</v>
      </c>
    </row>
    <row r="39" spans="1:9" x14ac:dyDescent="0.25">
      <c r="A39" s="1">
        <v>45765</v>
      </c>
      <c r="B39" t="s">
        <v>11</v>
      </c>
      <c r="C39" t="s">
        <v>38</v>
      </c>
      <c r="D39" s="3">
        <v>46819</v>
      </c>
      <c r="E39" s="3">
        <v>0</v>
      </c>
      <c r="F39" s="3">
        <v>-789</v>
      </c>
      <c r="G39" t="s">
        <v>60</v>
      </c>
      <c r="H39" t="s">
        <v>67</v>
      </c>
      <c r="I39" t="s">
        <v>64</v>
      </c>
    </row>
    <row r="40" spans="1:9" x14ac:dyDescent="0.25">
      <c r="A40" s="1">
        <v>45677</v>
      </c>
      <c r="B40" t="s">
        <v>20</v>
      </c>
      <c r="C40" t="s">
        <v>29</v>
      </c>
      <c r="D40" s="3">
        <v>0</v>
      </c>
      <c r="E40" s="3">
        <v>15292</v>
      </c>
      <c r="F40" s="3">
        <v>-16081</v>
      </c>
      <c r="G40" t="s">
        <v>61</v>
      </c>
      <c r="H40" t="s">
        <v>69</v>
      </c>
      <c r="I40" t="s">
        <v>12</v>
      </c>
    </row>
    <row r="41" spans="1:9" x14ac:dyDescent="0.25">
      <c r="A41" s="1">
        <v>45776</v>
      </c>
      <c r="B41" t="s">
        <v>17</v>
      </c>
      <c r="C41" t="s">
        <v>30</v>
      </c>
      <c r="D41" s="3">
        <v>7616</v>
      </c>
      <c r="E41" s="3">
        <v>0</v>
      </c>
      <c r="F41" s="3">
        <v>-8465</v>
      </c>
      <c r="G41" t="s">
        <v>62</v>
      </c>
      <c r="H41" t="s">
        <v>68</v>
      </c>
      <c r="I41" t="s">
        <v>63</v>
      </c>
    </row>
    <row r="42" spans="1:9" x14ac:dyDescent="0.25">
      <c r="A42" s="1">
        <v>45730</v>
      </c>
      <c r="B42" t="s">
        <v>6</v>
      </c>
      <c r="C42" t="s">
        <v>39</v>
      </c>
      <c r="D42" s="3">
        <v>0</v>
      </c>
      <c r="E42" s="3">
        <v>7265</v>
      </c>
      <c r="F42" s="3">
        <v>-15730</v>
      </c>
      <c r="G42" t="s">
        <v>58</v>
      </c>
      <c r="H42" t="s">
        <v>65</v>
      </c>
      <c r="I42" t="s">
        <v>64</v>
      </c>
    </row>
    <row r="43" spans="1:9" x14ac:dyDescent="0.25">
      <c r="A43" s="1">
        <v>45841</v>
      </c>
      <c r="B43" t="s">
        <v>11</v>
      </c>
      <c r="C43" t="s">
        <v>39</v>
      </c>
      <c r="D43" s="3">
        <v>42328</v>
      </c>
      <c r="E43" s="3">
        <v>0</v>
      </c>
      <c r="F43" s="3">
        <v>26598</v>
      </c>
      <c r="G43" t="s">
        <v>59</v>
      </c>
      <c r="H43" t="s">
        <v>66</v>
      </c>
      <c r="I43" t="s">
        <v>12</v>
      </c>
    </row>
    <row r="44" spans="1:9" x14ac:dyDescent="0.25">
      <c r="A44" s="1">
        <v>45713</v>
      </c>
      <c r="B44" t="s">
        <v>13</v>
      </c>
      <c r="C44" t="s">
        <v>35</v>
      </c>
      <c r="D44" s="3">
        <v>0</v>
      </c>
      <c r="E44" s="3">
        <v>19992</v>
      </c>
      <c r="F44" s="3">
        <v>6606</v>
      </c>
      <c r="G44" t="s">
        <v>60</v>
      </c>
      <c r="H44" t="s">
        <v>67</v>
      </c>
      <c r="I44" t="s">
        <v>63</v>
      </c>
    </row>
    <row r="45" spans="1:9" x14ac:dyDescent="0.25">
      <c r="A45" s="1">
        <v>45853</v>
      </c>
      <c r="B45" t="s">
        <v>9</v>
      </c>
      <c r="C45" t="s">
        <v>40</v>
      </c>
      <c r="D45" s="3">
        <v>0</v>
      </c>
      <c r="E45" s="3">
        <v>8353</v>
      </c>
      <c r="F45" s="3">
        <v>-1747</v>
      </c>
      <c r="G45" t="s">
        <v>61</v>
      </c>
      <c r="H45" t="s">
        <v>69</v>
      </c>
      <c r="I45" t="s">
        <v>64</v>
      </c>
    </row>
    <row r="46" spans="1:9" x14ac:dyDescent="0.25">
      <c r="A46" s="1">
        <v>45735</v>
      </c>
      <c r="B46" t="s">
        <v>8</v>
      </c>
      <c r="C46" t="s">
        <v>25</v>
      </c>
      <c r="D46" s="3">
        <v>0</v>
      </c>
      <c r="E46" s="3">
        <v>6190</v>
      </c>
      <c r="F46" s="3">
        <v>-7937</v>
      </c>
      <c r="G46" t="s">
        <v>62</v>
      </c>
      <c r="H46" t="s">
        <v>68</v>
      </c>
      <c r="I46" t="s">
        <v>12</v>
      </c>
    </row>
    <row r="47" spans="1:9" x14ac:dyDescent="0.25">
      <c r="A47" s="1">
        <v>45712</v>
      </c>
      <c r="B47" t="s">
        <v>21</v>
      </c>
      <c r="C47" t="s">
        <v>36</v>
      </c>
      <c r="D47" s="3">
        <v>0</v>
      </c>
      <c r="E47" s="3">
        <v>2569</v>
      </c>
      <c r="F47" s="3">
        <v>-10506</v>
      </c>
      <c r="G47" t="s">
        <v>58</v>
      </c>
      <c r="H47" t="s">
        <v>65</v>
      </c>
      <c r="I47" t="s">
        <v>63</v>
      </c>
    </row>
    <row r="48" spans="1:9" x14ac:dyDescent="0.25">
      <c r="A48" s="1">
        <v>45853</v>
      </c>
      <c r="B48" t="s">
        <v>14</v>
      </c>
      <c r="C48" t="s">
        <v>26</v>
      </c>
      <c r="D48" s="3">
        <v>0</v>
      </c>
      <c r="E48" s="3">
        <v>2630</v>
      </c>
      <c r="F48" s="3">
        <v>-13136</v>
      </c>
      <c r="G48" t="s">
        <v>59</v>
      </c>
      <c r="H48" t="s">
        <v>66</v>
      </c>
      <c r="I48" t="s">
        <v>64</v>
      </c>
    </row>
    <row r="49" spans="1:9" x14ac:dyDescent="0.25">
      <c r="A49" s="1">
        <v>45681</v>
      </c>
      <c r="B49" t="s">
        <v>18</v>
      </c>
      <c r="C49" t="s">
        <v>25</v>
      </c>
      <c r="D49" s="3">
        <v>0</v>
      </c>
      <c r="E49" s="3">
        <v>322</v>
      </c>
      <c r="F49" s="3">
        <v>-13458</v>
      </c>
      <c r="G49" t="s">
        <v>60</v>
      </c>
      <c r="H49" t="s">
        <v>67</v>
      </c>
      <c r="I49" t="s">
        <v>12</v>
      </c>
    </row>
    <row r="50" spans="1:9" x14ac:dyDescent="0.25">
      <c r="A50" s="1">
        <v>45747</v>
      </c>
      <c r="B50" t="s">
        <v>17</v>
      </c>
      <c r="C50" t="s">
        <v>24</v>
      </c>
      <c r="D50" s="3">
        <v>13771</v>
      </c>
      <c r="E50" s="3">
        <v>0</v>
      </c>
      <c r="F50" s="3">
        <v>313</v>
      </c>
      <c r="G50" t="s">
        <v>61</v>
      </c>
      <c r="H50" t="s">
        <v>69</v>
      </c>
      <c r="I50" t="s">
        <v>63</v>
      </c>
    </row>
    <row r="51" spans="1:9" x14ac:dyDescent="0.25">
      <c r="A51" s="1">
        <v>45787</v>
      </c>
      <c r="B51" t="s">
        <v>12</v>
      </c>
      <c r="C51" t="s">
        <v>37</v>
      </c>
      <c r="D51" s="3">
        <v>53809</v>
      </c>
      <c r="E51" s="3">
        <v>0</v>
      </c>
      <c r="F51" s="3">
        <v>54122</v>
      </c>
      <c r="G51" t="s">
        <v>62</v>
      </c>
      <c r="H51" t="s">
        <v>68</v>
      </c>
      <c r="I51" t="s">
        <v>64</v>
      </c>
    </row>
    <row r="52" spans="1:9" x14ac:dyDescent="0.25">
      <c r="A52" s="1">
        <v>45806</v>
      </c>
      <c r="B52" t="s">
        <v>18</v>
      </c>
      <c r="C52" t="s">
        <v>34</v>
      </c>
      <c r="D52" s="3">
        <v>0</v>
      </c>
      <c r="E52" s="3">
        <v>10717</v>
      </c>
      <c r="F52" s="3">
        <v>43405</v>
      </c>
      <c r="G52" t="s">
        <v>58</v>
      </c>
      <c r="H52" t="s">
        <v>65</v>
      </c>
      <c r="I52" t="s">
        <v>12</v>
      </c>
    </row>
    <row r="53" spans="1:9" x14ac:dyDescent="0.25">
      <c r="A53" s="1">
        <v>45806</v>
      </c>
      <c r="B53" t="s">
        <v>20</v>
      </c>
      <c r="C53" t="s">
        <v>26</v>
      </c>
      <c r="D53" s="3">
        <v>0</v>
      </c>
      <c r="E53" s="3">
        <v>5232</v>
      </c>
      <c r="F53" s="3">
        <v>38173</v>
      </c>
      <c r="G53" t="s">
        <v>59</v>
      </c>
      <c r="H53" t="s">
        <v>66</v>
      </c>
      <c r="I53" t="s">
        <v>63</v>
      </c>
    </row>
    <row r="54" spans="1:9" x14ac:dyDescent="0.25">
      <c r="A54" s="1">
        <v>45791</v>
      </c>
      <c r="B54" t="s">
        <v>11</v>
      </c>
      <c r="C54" t="s">
        <v>41</v>
      </c>
      <c r="D54" s="3">
        <v>56257</v>
      </c>
      <c r="E54" s="3">
        <v>0</v>
      </c>
      <c r="F54" s="3">
        <v>94430</v>
      </c>
      <c r="G54" t="s">
        <v>60</v>
      </c>
      <c r="H54" t="s">
        <v>67</v>
      </c>
      <c r="I54" t="s">
        <v>64</v>
      </c>
    </row>
    <row r="55" spans="1:9" x14ac:dyDescent="0.25">
      <c r="A55" s="1">
        <v>45658</v>
      </c>
      <c r="B55" t="s">
        <v>22</v>
      </c>
      <c r="C55" t="s">
        <v>26</v>
      </c>
      <c r="D55" s="3">
        <v>27210</v>
      </c>
      <c r="E55" s="3">
        <v>0</v>
      </c>
      <c r="F55" s="3">
        <v>121640</v>
      </c>
      <c r="G55" t="s">
        <v>61</v>
      </c>
      <c r="H55" t="s">
        <v>69</v>
      </c>
      <c r="I55" t="s">
        <v>12</v>
      </c>
    </row>
    <row r="56" spans="1:9" x14ac:dyDescent="0.25">
      <c r="A56" s="1">
        <v>45858</v>
      </c>
      <c r="B56" t="s">
        <v>9</v>
      </c>
      <c r="C56" t="s">
        <v>38</v>
      </c>
      <c r="D56" s="3">
        <v>0</v>
      </c>
      <c r="E56" s="3">
        <v>12106</v>
      </c>
      <c r="F56" s="3">
        <v>109534</v>
      </c>
      <c r="G56" t="s">
        <v>62</v>
      </c>
      <c r="H56" t="s">
        <v>68</v>
      </c>
      <c r="I56" t="s">
        <v>63</v>
      </c>
    </row>
    <row r="57" spans="1:9" x14ac:dyDescent="0.25">
      <c r="A57" s="1">
        <v>45800</v>
      </c>
      <c r="B57" t="s">
        <v>7</v>
      </c>
      <c r="C57" t="s">
        <v>36</v>
      </c>
      <c r="D57" s="3">
        <v>0</v>
      </c>
      <c r="E57" s="3">
        <v>6813</v>
      </c>
      <c r="F57" s="3">
        <v>102721</v>
      </c>
      <c r="G57" t="s">
        <v>58</v>
      </c>
      <c r="H57" t="s">
        <v>65</v>
      </c>
      <c r="I57" t="s">
        <v>64</v>
      </c>
    </row>
    <row r="58" spans="1:9" x14ac:dyDescent="0.25">
      <c r="A58" s="1">
        <v>45808</v>
      </c>
      <c r="B58" t="s">
        <v>16</v>
      </c>
      <c r="C58" t="s">
        <v>39</v>
      </c>
      <c r="D58" s="3">
        <v>0</v>
      </c>
      <c r="E58" s="3">
        <v>13242</v>
      </c>
      <c r="F58" s="3">
        <v>89479</v>
      </c>
      <c r="G58" t="s">
        <v>59</v>
      </c>
      <c r="H58" t="s">
        <v>66</v>
      </c>
      <c r="I58" t="s">
        <v>12</v>
      </c>
    </row>
    <row r="59" spans="1:9" x14ac:dyDescent="0.25">
      <c r="A59" s="1">
        <v>45685</v>
      </c>
      <c r="B59" t="s">
        <v>21</v>
      </c>
      <c r="C59" t="s">
        <v>38</v>
      </c>
      <c r="D59" s="3">
        <v>0</v>
      </c>
      <c r="E59" s="3">
        <v>857</v>
      </c>
      <c r="F59" s="3">
        <v>88622</v>
      </c>
      <c r="G59" t="s">
        <v>60</v>
      </c>
      <c r="H59" t="s">
        <v>67</v>
      </c>
      <c r="I59" t="s">
        <v>63</v>
      </c>
    </row>
    <row r="60" spans="1:9" x14ac:dyDescent="0.25">
      <c r="A60" s="1">
        <v>45719</v>
      </c>
      <c r="B60" t="s">
        <v>15</v>
      </c>
      <c r="C60" t="s">
        <v>29</v>
      </c>
      <c r="D60" s="3">
        <v>0</v>
      </c>
      <c r="E60" s="3">
        <v>11063</v>
      </c>
      <c r="F60" s="3">
        <v>77559</v>
      </c>
      <c r="G60" t="s">
        <v>61</v>
      </c>
      <c r="H60" t="s">
        <v>69</v>
      </c>
      <c r="I60" t="s">
        <v>64</v>
      </c>
    </row>
    <row r="61" spans="1:9" x14ac:dyDescent="0.25">
      <c r="A61" s="1">
        <v>45774</v>
      </c>
      <c r="B61" t="s">
        <v>17</v>
      </c>
      <c r="C61" t="s">
        <v>34</v>
      </c>
      <c r="D61" s="3">
        <v>33050</v>
      </c>
      <c r="E61" s="3">
        <v>0</v>
      </c>
      <c r="F61" s="3">
        <v>110609</v>
      </c>
      <c r="G61" t="s">
        <v>62</v>
      </c>
      <c r="H61" t="s">
        <v>68</v>
      </c>
      <c r="I61" t="s">
        <v>12</v>
      </c>
    </row>
    <row r="62" spans="1:9" x14ac:dyDescent="0.25">
      <c r="A62" s="1">
        <v>45664</v>
      </c>
      <c r="B62" t="s">
        <v>23</v>
      </c>
      <c r="C62" t="s">
        <v>38</v>
      </c>
      <c r="D62" s="3">
        <v>0</v>
      </c>
      <c r="E62" s="3">
        <v>14244</v>
      </c>
      <c r="F62" s="3">
        <v>96365</v>
      </c>
      <c r="G62" t="s">
        <v>58</v>
      </c>
      <c r="H62" t="s">
        <v>65</v>
      </c>
      <c r="I62" t="s">
        <v>63</v>
      </c>
    </row>
    <row r="63" spans="1:9" x14ac:dyDescent="0.25">
      <c r="A63" s="1">
        <v>45664</v>
      </c>
      <c r="B63" t="s">
        <v>12</v>
      </c>
      <c r="C63" t="s">
        <v>35</v>
      </c>
      <c r="D63" s="3">
        <v>24312</v>
      </c>
      <c r="E63" s="3">
        <v>0</v>
      </c>
      <c r="F63" s="3">
        <v>120677</v>
      </c>
      <c r="G63" t="s">
        <v>59</v>
      </c>
      <c r="H63" t="s">
        <v>66</v>
      </c>
      <c r="I63" t="s">
        <v>64</v>
      </c>
    </row>
    <row r="64" spans="1:9" x14ac:dyDescent="0.25">
      <c r="A64" s="1">
        <v>45717</v>
      </c>
      <c r="B64" t="s">
        <v>13</v>
      </c>
      <c r="C64" t="s">
        <v>40</v>
      </c>
      <c r="D64" s="3">
        <v>0</v>
      </c>
      <c r="E64" s="3">
        <v>14649</v>
      </c>
      <c r="F64" s="3">
        <v>106028</v>
      </c>
      <c r="G64" t="s">
        <v>60</v>
      </c>
      <c r="H64" t="s">
        <v>67</v>
      </c>
      <c r="I64" t="s">
        <v>12</v>
      </c>
    </row>
    <row r="65" spans="1:9" x14ac:dyDescent="0.25">
      <c r="A65" s="1">
        <v>45759</v>
      </c>
      <c r="B65" t="s">
        <v>12</v>
      </c>
      <c r="C65" t="s">
        <v>38</v>
      </c>
      <c r="D65" s="3">
        <v>34211</v>
      </c>
      <c r="E65" s="3">
        <v>0</v>
      </c>
      <c r="F65" s="3">
        <v>140239</v>
      </c>
      <c r="G65" t="s">
        <v>61</v>
      </c>
      <c r="H65" t="s">
        <v>69</v>
      </c>
      <c r="I65" t="s">
        <v>63</v>
      </c>
    </row>
    <row r="66" spans="1:9" x14ac:dyDescent="0.25">
      <c r="A66" s="1">
        <v>45804</v>
      </c>
      <c r="B66" t="s">
        <v>16</v>
      </c>
      <c r="C66" t="s">
        <v>34</v>
      </c>
      <c r="D66" s="3">
        <v>0</v>
      </c>
      <c r="E66" s="3">
        <v>19109</v>
      </c>
      <c r="F66" s="3">
        <v>121130</v>
      </c>
      <c r="G66" t="s">
        <v>62</v>
      </c>
      <c r="H66" t="s">
        <v>68</v>
      </c>
      <c r="I66" t="s">
        <v>64</v>
      </c>
    </row>
    <row r="67" spans="1:9" x14ac:dyDescent="0.25">
      <c r="A67" s="1">
        <v>45765</v>
      </c>
      <c r="B67" t="s">
        <v>20</v>
      </c>
      <c r="C67" t="s">
        <v>38</v>
      </c>
      <c r="D67" s="3">
        <v>0</v>
      </c>
      <c r="E67" s="3">
        <v>6558</v>
      </c>
      <c r="F67" s="3">
        <v>114572</v>
      </c>
      <c r="G67" t="s">
        <v>58</v>
      </c>
      <c r="H67" t="s">
        <v>65</v>
      </c>
      <c r="I67" t="s">
        <v>12</v>
      </c>
    </row>
    <row r="68" spans="1:9" x14ac:dyDescent="0.25">
      <c r="A68" s="1">
        <v>45846</v>
      </c>
      <c r="B68" t="s">
        <v>17</v>
      </c>
      <c r="C68" t="s">
        <v>34</v>
      </c>
      <c r="D68" s="3">
        <v>54668</v>
      </c>
      <c r="E68" s="3">
        <v>0</v>
      </c>
      <c r="F68" s="3">
        <v>169240</v>
      </c>
      <c r="G68" t="s">
        <v>59</v>
      </c>
      <c r="H68" t="s">
        <v>66</v>
      </c>
      <c r="I68" t="s">
        <v>63</v>
      </c>
    </row>
    <row r="69" spans="1:9" x14ac:dyDescent="0.25">
      <c r="A69" s="1">
        <v>45769</v>
      </c>
      <c r="B69" t="s">
        <v>23</v>
      </c>
      <c r="C69" t="s">
        <v>30</v>
      </c>
      <c r="D69" s="3">
        <v>0</v>
      </c>
      <c r="E69" s="3">
        <v>5142</v>
      </c>
      <c r="F69" s="3">
        <v>164098</v>
      </c>
      <c r="G69" t="s">
        <v>60</v>
      </c>
      <c r="H69" t="s">
        <v>67</v>
      </c>
      <c r="I69" t="s">
        <v>64</v>
      </c>
    </row>
    <row r="70" spans="1:9" x14ac:dyDescent="0.25">
      <c r="A70" s="1">
        <v>45714</v>
      </c>
      <c r="B70" t="s">
        <v>15</v>
      </c>
      <c r="C70" t="s">
        <v>37</v>
      </c>
      <c r="D70" s="3">
        <v>0</v>
      </c>
      <c r="E70" s="3">
        <v>15040</v>
      </c>
      <c r="F70" s="3">
        <v>149058</v>
      </c>
      <c r="G70" t="s">
        <v>61</v>
      </c>
      <c r="H70" t="s">
        <v>69</v>
      </c>
      <c r="I70" t="s">
        <v>12</v>
      </c>
    </row>
    <row r="71" spans="1:9" x14ac:dyDescent="0.25">
      <c r="A71" s="1">
        <v>45682</v>
      </c>
      <c r="B71" t="s">
        <v>18</v>
      </c>
      <c r="C71" t="s">
        <v>42</v>
      </c>
      <c r="D71" s="3">
        <v>0</v>
      </c>
      <c r="E71" s="3">
        <v>8511</v>
      </c>
      <c r="F71" s="3">
        <v>140547</v>
      </c>
      <c r="G71" t="s">
        <v>62</v>
      </c>
      <c r="H71" t="s">
        <v>68</v>
      </c>
      <c r="I71" t="s">
        <v>63</v>
      </c>
    </row>
    <row r="72" spans="1:9" x14ac:dyDescent="0.25">
      <c r="A72" s="1">
        <v>45795</v>
      </c>
      <c r="B72" t="s">
        <v>9</v>
      </c>
      <c r="C72" t="s">
        <v>34</v>
      </c>
      <c r="D72" s="3">
        <v>0</v>
      </c>
      <c r="E72" s="3">
        <v>17905</v>
      </c>
      <c r="F72" s="3">
        <v>122642</v>
      </c>
      <c r="G72" t="s">
        <v>58</v>
      </c>
      <c r="H72" t="s">
        <v>65</v>
      </c>
      <c r="I72" t="s">
        <v>64</v>
      </c>
    </row>
    <row r="73" spans="1:9" x14ac:dyDescent="0.25">
      <c r="A73" s="1">
        <v>45810</v>
      </c>
      <c r="B73" t="s">
        <v>23</v>
      </c>
      <c r="C73" t="s">
        <v>29</v>
      </c>
      <c r="D73" s="3">
        <v>0</v>
      </c>
      <c r="E73" s="3">
        <v>4787</v>
      </c>
      <c r="F73" s="3">
        <v>117855</v>
      </c>
      <c r="G73" t="s">
        <v>59</v>
      </c>
      <c r="H73" t="s">
        <v>66</v>
      </c>
      <c r="I73" t="s">
        <v>12</v>
      </c>
    </row>
    <row r="74" spans="1:9" x14ac:dyDescent="0.25">
      <c r="A74" s="1">
        <v>45848</v>
      </c>
      <c r="B74" t="s">
        <v>15</v>
      </c>
      <c r="C74" t="s">
        <v>41</v>
      </c>
      <c r="D74" s="3">
        <v>0</v>
      </c>
      <c r="E74" s="3">
        <v>8309</v>
      </c>
      <c r="F74" s="3">
        <v>109546</v>
      </c>
      <c r="G74" t="s">
        <v>60</v>
      </c>
      <c r="H74" t="s">
        <v>67</v>
      </c>
      <c r="I74" t="s">
        <v>63</v>
      </c>
    </row>
    <row r="75" spans="1:9" x14ac:dyDescent="0.25">
      <c r="A75" s="1">
        <v>45795</v>
      </c>
      <c r="B75" t="s">
        <v>17</v>
      </c>
      <c r="C75" t="s">
        <v>32</v>
      </c>
      <c r="D75" s="3">
        <v>7480</v>
      </c>
      <c r="E75" s="3">
        <v>0</v>
      </c>
      <c r="F75" s="3">
        <v>117026</v>
      </c>
      <c r="G75" t="s">
        <v>61</v>
      </c>
      <c r="H75" t="s">
        <v>69</v>
      </c>
      <c r="I75" t="s">
        <v>64</v>
      </c>
    </row>
    <row r="76" spans="1:9" x14ac:dyDescent="0.25">
      <c r="A76" s="1">
        <v>45665</v>
      </c>
      <c r="B76" t="s">
        <v>22</v>
      </c>
      <c r="C76" t="s">
        <v>40</v>
      </c>
      <c r="D76" s="3">
        <v>34101</v>
      </c>
      <c r="E76" s="3">
        <v>0</v>
      </c>
      <c r="F76" s="3">
        <v>151127</v>
      </c>
      <c r="G76" t="s">
        <v>62</v>
      </c>
      <c r="H76" t="s">
        <v>68</v>
      </c>
      <c r="I76" t="s">
        <v>12</v>
      </c>
    </row>
    <row r="77" spans="1:9" x14ac:dyDescent="0.25">
      <c r="A77" s="1">
        <v>45848</v>
      </c>
      <c r="B77" t="s">
        <v>6</v>
      </c>
      <c r="C77" t="s">
        <v>43</v>
      </c>
      <c r="D77" s="3">
        <v>0</v>
      </c>
      <c r="E77" s="3">
        <v>10957</v>
      </c>
      <c r="F77" s="3">
        <v>140170</v>
      </c>
      <c r="G77" t="s">
        <v>58</v>
      </c>
      <c r="H77" t="s">
        <v>65</v>
      </c>
      <c r="I77" t="s">
        <v>63</v>
      </c>
    </row>
    <row r="78" spans="1:9" x14ac:dyDescent="0.25">
      <c r="A78" s="1">
        <v>45767</v>
      </c>
      <c r="B78" t="s">
        <v>17</v>
      </c>
      <c r="C78" t="s">
        <v>28</v>
      </c>
      <c r="D78" s="3">
        <v>46168</v>
      </c>
      <c r="E78" s="3">
        <v>0</v>
      </c>
      <c r="F78" s="3">
        <v>186338</v>
      </c>
      <c r="G78" t="s">
        <v>59</v>
      </c>
      <c r="H78" t="s">
        <v>66</v>
      </c>
      <c r="I78" t="s">
        <v>64</v>
      </c>
    </row>
    <row r="79" spans="1:9" x14ac:dyDescent="0.25">
      <c r="A79" s="1">
        <v>45853</v>
      </c>
      <c r="B79" t="s">
        <v>6</v>
      </c>
      <c r="C79" t="s">
        <v>35</v>
      </c>
      <c r="D79" s="3">
        <v>0</v>
      </c>
      <c r="E79" s="3">
        <v>14333</v>
      </c>
      <c r="F79" s="3">
        <v>172005</v>
      </c>
      <c r="G79" t="s">
        <v>60</v>
      </c>
      <c r="H79" t="s">
        <v>67</v>
      </c>
      <c r="I79" t="s">
        <v>12</v>
      </c>
    </row>
    <row r="80" spans="1:9" x14ac:dyDescent="0.25">
      <c r="A80" s="1">
        <v>45702</v>
      </c>
      <c r="B80" t="s">
        <v>20</v>
      </c>
      <c r="C80" t="s">
        <v>29</v>
      </c>
      <c r="D80" s="3">
        <v>0</v>
      </c>
      <c r="E80" s="3">
        <v>16683</v>
      </c>
      <c r="F80" s="3">
        <v>155322</v>
      </c>
      <c r="G80" t="s">
        <v>61</v>
      </c>
      <c r="H80" t="s">
        <v>69</v>
      </c>
      <c r="I80" t="s">
        <v>63</v>
      </c>
    </row>
    <row r="81" spans="1:9" x14ac:dyDescent="0.25">
      <c r="A81" s="1">
        <v>45753</v>
      </c>
      <c r="B81" t="s">
        <v>22</v>
      </c>
      <c r="C81" t="s">
        <v>27</v>
      </c>
      <c r="D81" s="3">
        <v>41039</v>
      </c>
      <c r="E81" s="3">
        <v>0</v>
      </c>
      <c r="F81" s="3">
        <v>196361</v>
      </c>
      <c r="G81" t="s">
        <v>62</v>
      </c>
      <c r="H81" t="s">
        <v>68</v>
      </c>
      <c r="I81" t="s">
        <v>64</v>
      </c>
    </row>
    <row r="82" spans="1:9" x14ac:dyDescent="0.25">
      <c r="A82" s="1">
        <v>45719</v>
      </c>
      <c r="B82" t="s">
        <v>15</v>
      </c>
      <c r="C82" t="s">
        <v>35</v>
      </c>
      <c r="D82" s="3">
        <v>0</v>
      </c>
      <c r="E82" s="3">
        <v>12021</v>
      </c>
      <c r="F82" s="3">
        <v>184334</v>
      </c>
      <c r="G82" t="s">
        <v>58</v>
      </c>
      <c r="H82" t="s">
        <v>65</v>
      </c>
      <c r="I82" t="s">
        <v>12</v>
      </c>
    </row>
    <row r="83" spans="1:9" x14ac:dyDescent="0.25">
      <c r="A83" s="1">
        <v>45719</v>
      </c>
      <c r="B83" t="s">
        <v>8</v>
      </c>
      <c r="C83" t="s">
        <v>26</v>
      </c>
      <c r="D83" s="3">
        <v>0</v>
      </c>
      <c r="E83" s="3">
        <v>19311</v>
      </c>
      <c r="F83" s="3">
        <v>165023</v>
      </c>
      <c r="G83" t="s">
        <v>59</v>
      </c>
      <c r="H83" t="s">
        <v>66</v>
      </c>
      <c r="I83" t="s">
        <v>63</v>
      </c>
    </row>
    <row r="84" spans="1:9" x14ac:dyDescent="0.25">
      <c r="A84" s="1">
        <v>45791</v>
      </c>
      <c r="B84" t="s">
        <v>6</v>
      </c>
      <c r="C84" t="s">
        <v>32</v>
      </c>
      <c r="D84" s="3">
        <v>0</v>
      </c>
      <c r="E84" s="3">
        <v>8514</v>
      </c>
      <c r="F84" s="3">
        <v>156509</v>
      </c>
      <c r="G84" t="s">
        <v>60</v>
      </c>
      <c r="H84" t="s">
        <v>67</v>
      </c>
      <c r="I84" t="s">
        <v>64</v>
      </c>
    </row>
    <row r="85" spans="1:9" x14ac:dyDescent="0.25">
      <c r="A85" s="1">
        <v>45667</v>
      </c>
      <c r="B85" t="s">
        <v>12</v>
      </c>
      <c r="C85" t="s">
        <v>29</v>
      </c>
      <c r="D85" s="3">
        <v>32465</v>
      </c>
      <c r="E85" s="3">
        <v>0</v>
      </c>
      <c r="F85" s="3">
        <v>188974</v>
      </c>
      <c r="G85" t="s">
        <v>61</v>
      </c>
      <c r="H85" t="s">
        <v>69</v>
      </c>
      <c r="I85" t="s">
        <v>12</v>
      </c>
    </row>
    <row r="86" spans="1:9" x14ac:dyDescent="0.25">
      <c r="A86" s="1">
        <v>45752</v>
      </c>
      <c r="B86" t="s">
        <v>15</v>
      </c>
      <c r="C86" t="s">
        <v>28</v>
      </c>
      <c r="D86" s="3">
        <v>0</v>
      </c>
      <c r="E86" s="3">
        <v>3352</v>
      </c>
      <c r="F86" s="3">
        <v>185622</v>
      </c>
      <c r="G86" t="s">
        <v>62</v>
      </c>
      <c r="H86" t="s">
        <v>68</v>
      </c>
      <c r="I86" t="s">
        <v>63</v>
      </c>
    </row>
    <row r="87" spans="1:9" x14ac:dyDescent="0.25">
      <c r="A87" s="1">
        <v>45825</v>
      </c>
      <c r="B87" t="s">
        <v>6</v>
      </c>
      <c r="C87" t="s">
        <v>31</v>
      </c>
      <c r="D87" s="3">
        <v>0</v>
      </c>
      <c r="E87" s="3">
        <v>6118</v>
      </c>
      <c r="F87" s="3">
        <v>179504</v>
      </c>
      <c r="G87" t="s">
        <v>58</v>
      </c>
      <c r="H87" t="s">
        <v>65</v>
      </c>
      <c r="I87" t="s">
        <v>64</v>
      </c>
    </row>
    <row r="88" spans="1:9" x14ac:dyDescent="0.25">
      <c r="A88" s="1">
        <v>45757</v>
      </c>
      <c r="B88" t="s">
        <v>10</v>
      </c>
      <c r="C88" t="s">
        <v>26</v>
      </c>
      <c r="D88" s="3">
        <v>0</v>
      </c>
      <c r="E88" s="3">
        <v>2941</v>
      </c>
      <c r="F88" s="3">
        <v>176563</v>
      </c>
      <c r="G88" t="s">
        <v>59</v>
      </c>
      <c r="H88" t="s">
        <v>66</v>
      </c>
      <c r="I88" t="s">
        <v>12</v>
      </c>
    </row>
    <row r="89" spans="1:9" x14ac:dyDescent="0.25">
      <c r="A89" s="1">
        <v>45819</v>
      </c>
      <c r="B89" t="s">
        <v>19</v>
      </c>
      <c r="C89" t="s">
        <v>25</v>
      </c>
      <c r="D89" s="3">
        <v>58254</v>
      </c>
      <c r="E89" s="3">
        <v>0</v>
      </c>
      <c r="F89" s="3">
        <v>234817</v>
      </c>
      <c r="G89" t="s">
        <v>60</v>
      </c>
      <c r="H89" t="s">
        <v>67</v>
      </c>
      <c r="I89" t="s">
        <v>63</v>
      </c>
    </row>
    <row r="90" spans="1:9" x14ac:dyDescent="0.25">
      <c r="A90" s="1">
        <v>45687</v>
      </c>
      <c r="B90" t="s">
        <v>13</v>
      </c>
      <c r="C90" t="s">
        <v>38</v>
      </c>
      <c r="D90" s="3">
        <v>0</v>
      </c>
      <c r="E90" s="3">
        <v>7834</v>
      </c>
      <c r="F90" s="3">
        <v>226983</v>
      </c>
      <c r="G90" t="s">
        <v>61</v>
      </c>
      <c r="H90" t="s">
        <v>69</v>
      </c>
      <c r="I90" t="s">
        <v>64</v>
      </c>
    </row>
    <row r="91" spans="1:9" x14ac:dyDescent="0.25">
      <c r="A91" s="1">
        <v>45810</v>
      </c>
      <c r="B91" t="s">
        <v>22</v>
      </c>
      <c r="C91" t="s">
        <v>32</v>
      </c>
      <c r="D91" s="3">
        <v>53673</v>
      </c>
      <c r="E91" s="3">
        <v>0</v>
      </c>
      <c r="F91" s="3">
        <v>280656</v>
      </c>
      <c r="G91" t="s">
        <v>62</v>
      </c>
      <c r="H91" t="s">
        <v>68</v>
      </c>
      <c r="I91" t="s">
        <v>12</v>
      </c>
    </row>
    <row r="92" spans="1:9" x14ac:dyDescent="0.25">
      <c r="A92" s="1">
        <v>45731</v>
      </c>
      <c r="B92" t="s">
        <v>21</v>
      </c>
      <c r="C92" t="s">
        <v>33</v>
      </c>
      <c r="D92" s="3">
        <v>0</v>
      </c>
      <c r="E92" s="3">
        <v>15720</v>
      </c>
      <c r="F92" s="3">
        <v>264936</v>
      </c>
      <c r="G92" t="s">
        <v>58</v>
      </c>
      <c r="H92" t="s">
        <v>65</v>
      </c>
      <c r="I92" t="s">
        <v>63</v>
      </c>
    </row>
    <row r="93" spans="1:9" x14ac:dyDescent="0.25">
      <c r="A93" s="1">
        <v>45713</v>
      </c>
      <c r="B93" t="s">
        <v>17</v>
      </c>
      <c r="C93" t="s">
        <v>39</v>
      </c>
      <c r="D93" s="3">
        <v>29321</v>
      </c>
      <c r="E93" s="3">
        <v>0</v>
      </c>
      <c r="F93" s="3">
        <v>294257</v>
      </c>
      <c r="G93" t="s">
        <v>59</v>
      </c>
      <c r="H93" t="s">
        <v>66</v>
      </c>
      <c r="I93" t="s">
        <v>64</v>
      </c>
    </row>
    <row r="94" spans="1:9" x14ac:dyDescent="0.25">
      <c r="A94" s="1">
        <v>45706</v>
      </c>
      <c r="B94" t="s">
        <v>9</v>
      </c>
      <c r="C94" t="s">
        <v>24</v>
      </c>
      <c r="D94" s="3">
        <v>0</v>
      </c>
      <c r="E94" s="3">
        <v>3796</v>
      </c>
      <c r="F94" s="3">
        <v>290461</v>
      </c>
      <c r="G94" t="s">
        <v>60</v>
      </c>
      <c r="H94" t="s">
        <v>67</v>
      </c>
      <c r="I94" t="s">
        <v>12</v>
      </c>
    </row>
    <row r="95" spans="1:9" x14ac:dyDescent="0.25">
      <c r="A95" s="1">
        <v>45702</v>
      </c>
      <c r="B95" t="s">
        <v>7</v>
      </c>
      <c r="C95" t="s">
        <v>26</v>
      </c>
      <c r="D95" s="3">
        <v>0</v>
      </c>
      <c r="E95" s="3">
        <v>7818</v>
      </c>
      <c r="F95" s="3">
        <v>282643</v>
      </c>
      <c r="G95" t="s">
        <v>61</v>
      </c>
      <c r="H95" t="s">
        <v>69</v>
      </c>
      <c r="I95" t="s">
        <v>63</v>
      </c>
    </row>
    <row r="96" spans="1:9" x14ac:dyDescent="0.25">
      <c r="A96" s="1">
        <v>45801</v>
      </c>
      <c r="B96" t="s">
        <v>20</v>
      </c>
      <c r="C96" t="s">
        <v>28</v>
      </c>
      <c r="D96" s="3">
        <v>0</v>
      </c>
      <c r="E96" s="3">
        <v>2421</v>
      </c>
      <c r="F96" s="3">
        <v>280222</v>
      </c>
      <c r="G96" t="s">
        <v>62</v>
      </c>
      <c r="H96" t="s">
        <v>68</v>
      </c>
      <c r="I96" t="s">
        <v>64</v>
      </c>
    </row>
    <row r="97" spans="1:9" x14ac:dyDescent="0.25">
      <c r="A97" s="1">
        <v>45732</v>
      </c>
      <c r="B97" t="s">
        <v>16</v>
      </c>
      <c r="C97" t="s">
        <v>26</v>
      </c>
      <c r="D97" s="3">
        <v>0</v>
      </c>
      <c r="E97" s="3">
        <v>3675</v>
      </c>
      <c r="F97" s="3">
        <v>276547</v>
      </c>
      <c r="G97" t="s">
        <v>58</v>
      </c>
      <c r="H97" t="s">
        <v>65</v>
      </c>
      <c r="I97" t="s">
        <v>12</v>
      </c>
    </row>
    <row r="98" spans="1:9" x14ac:dyDescent="0.25">
      <c r="A98" s="1">
        <v>45806</v>
      </c>
      <c r="B98" t="s">
        <v>14</v>
      </c>
      <c r="C98" t="s">
        <v>26</v>
      </c>
      <c r="D98" s="3">
        <v>0</v>
      </c>
      <c r="E98" s="3">
        <v>4196</v>
      </c>
      <c r="F98" s="3">
        <v>272351</v>
      </c>
      <c r="G98" t="s">
        <v>59</v>
      </c>
      <c r="H98" t="s">
        <v>66</v>
      </c>
      <c r="I98" t="s">
        <v>63</v>
      </c>
    </row>
    <row r="99" spans="1:9" x14ac:dyDescent="0.25">
      <c r="A99" s="1">
        <v>45805</v>
      </c>
      <c r="B99" t="s">
        <v>17</v>
      </c>
      <c r="C99" t="s">
        <v>32</v>
      </c>
      <c r="D99" s="3">
        <v>56515</v>
      </c>
      <c r="E99" s="3">
        <v>0</v>
      </c>
      <c r="F99" s="3">
        <v>328866</v>
      </c>
      <c r="G99" t="s">
        <v>60</v>
      </c>
      <c r="H99" t="s">
        <v>67</v>
      </c>
      <c r="I99" t="s">
        <v>64</v>
      </c>
    </row>
    <row r="100" spans="1:9" x14ac:dyDescent="0.25">
      <c r="A100" s="1">
        <v>45715</v>
      </c>
      <c r="B100" t="s">
        <v>14</v>
      </c>
      <c r="C100" t="s">
        <v>37</v>
      </c>
      <c r="D100" s="3">
        <v>0</v>
      </c>
      <c r="E100" s="3">
        <v>17760</v>
      </c>
      <c r="F100" s="3">
        <v>311106</v>
      </c>
      <c r="G100" t="s">
        <v>61</v>
      </c>
      <c r="H100" t="s">
        <v>69</v>
      </c>
      <c r="I100" t="s">
        <v>12</v>
      </c>
    </row>
    <row r="101" spans="1:9" x14ac:dyDescent="0.25">
      <c r="A101" s="1">
        <v>45732</v>
      </c>
      <c r="B101" t="s">
        <v>19</v>
      </c>
      <c r="C101" t="s">
        <v>42</v>
      </c>
      <c r="D101" s="3">
        <v>38465</v>
      </c>
      <c r="E101" s="3">
        <v>0</v>
      </c>
      <c r="F101" s="3">
        <v>349571</v>
      </c>
      <c r="G101" t="s">
        <v>62</v>
      </c>
      <c r="H101" t="s">
        <v>68</v>
      </c>
      <c r="I101" t="s">
        <v>63</v>
      </c>
    </row>
    <row r="102" spans="1:9" x14ac:dyDescent="0.25">
      <c r="A102" s="1">
        <v>45749</v>
      </c>
      <c r="B102" t="s">
        <v>15</v>
      </c>
      <c r="C102" t="s">
        <v>31</v>
      </c>
      <c r="D102" s="3">
        <v>0</v>
      </c>
      <c r="E102" s="3">
        <v>5901</v>
      </c>
      <c r="F102" s="3">
        <v>343670</v>
      </c>
      <c r="G102" t="s">
        <v>61</v>
      </c>
      <c r="H102" t="s">
        <v>65</v>
      </c>
      <c r="I102" t="s">
        <v>12</v>
      </c>
    </row>
    <row r="103" spans="1:9" x14ac:dyDescent="0.25">
      <c r="A103" s="1">
        <v>45766</v>
      </c>
      <c r="B103" t="s">
        <v>6</v>
      </c>
      <c r="C103" t="s">
        <v>26</v>
      </c>
      <c r="D103" s="3">
        <v>42919</v>
      </c>
      <c r="E103" s="3">
        <v>9958</v>
      </c>
      <c r="F103" s="3">
        <v>376631</v>
      </c>
      <c r="G103" t="s">
        <v>62</v>
      </c>
      <c r="H103" t="s">
        <v>66</v>
      </c>
      <c r="I103" t="s">
        <v>63</v>
      </c>
    </row>
    <row r="104" spans="1:9" x14ac:dyDescent="0.25">
      <c r="A104" s="1">
        <v>45783</v>
      </c>
      <c r="B104" t="s">
        <v>10</v>
      </c>
      <c r="C104" t="s">
        <v>25</v>
      </c>
      <c r="D104" s="3">
        <v>22735</v>
      </c>
      <c r="E104" s="3">
        <v>4809</v>
      </c>
      <c r="F104" s="3">
        <v>394557</v>
      </c>
      <c r="G104" t="s">
        <v>58</v>
      </c>
      <c r="H104" t="s">
        <v>67</v>
      </c>
      <c r="I104" t="s">
        <v>64</v>
      </c>
    </row>
    <row r="105" spans="1:9" x14ac:dyDescent="0.25">
      <c r="A105" s="1">
        <v>45800</v>
      </c>
      <c r="B105" t="s">
        <v>19</v>
      </c>
      <c r="C105" t="s">
        <v>38</v>
      </c>
      <c r="D105" s="3">
        <v>0</v>
      </c>
      <c r="E105" s="3">
        <v>14405</v>
      </c>
      <c r="F105" s="3">
        <v>380152</v>
      </c>
      <c r="G105" t="s">
        <v>59</v>
      </c>
      <c r="H105" t="s">
        <v>69</v>
      </c>
      <c r="I105" t="s">
        <v>12</v>
      </c>
    </row>
    <row r="106" spans="1:9" x14ac:dyDescent="0.25">
      <c r="A106" s="1">
        <v>45817</v>
      </c>
      <c r="B106" t="s">
        <v>13</v>
      </c>
      <c r="C106" t="s">
        <v>32</v>
      </c>
      <c r="D106" s="3">
        <v>0</v>
      </c>
      <c r="E106" s="3">
        <v>24920</v>
      </c>
      <c r="F106" s="3">
        <v>355232</v>
      </c>
      <c r="G106" t="s">
        <v>60</v>
      </c>
      <c r="H106" t="s">
        <v>68</v>
      </c>
      <c r="I106" t="s">
        <v>63</v>
      </c>
    </row>
    <row r="107" spans="1:9" x14ac:dyDescent="0.25">
      <c r="A107" s="1">
        <v>45834</v>
      </c>
      <c r="B107" t="s">
        <v>22</v>
      </c>
      <c r="C107" t="s">
        <v>33</v>
      </c>
      <c r="D107" s="3">
        <v>52442</v>
      </c>
      <c r="E107" s="3">
        <v>0</v>
      </c>
      <c r="F107" s="3">
        <v>407674</v>
      </c>
      <c r="G107" t="s">
        <v>61</v>
      </c>
      <c r="H107" t="s">
        <v>65</v>
      </c>
      <c r="I107" t="s">
        <v>64</v>
      </c>
    </row>
    <row r="108" spans="1:9" x14ac:dyDescent="0.25">
      <c r="A108" s="1">
        <v>45851</v>
      </c>
      <c r="B108" t="s">
        <v>21</v>
      </c>
      <c r="C108" t="s">
        <v>39</v>
      </c>
      <c r="D108" s="3">
        <v>0</v>
      </c>
      <c r="E108" s="3">
        <v>0</v>
      </c>
      <c r="F108" s="3">
        <v>407674</v>
      </c>
      <c r="G108" t="s">
        <v>62</v>
      </c>
      <c r="H108" t="s">
        <v>66</v>
      </c>
      <c r="I108" t="s">
        <v>12</v>
      </c>
    </row>
    <row r="109" spans="1:9" x14ac:dyDescent="0.25">
      <c r="A109" s="1">
        <v>45868</v>
      </c>
      <c r="B109" t="s">
        <v>17</v>
      </c>
      <c r="C109" t="s">
        <v>24</v>
      </c>
      <c r="D109" s="3">
        <v>0</v>
      </c>
      <c r="E109" s="3">
        <v>0</v>
      </c>
      <c r="F109" s="3">
        <v>407674</v>
      </c>
      <c r="G109" t="s">
        <v>58</v>
      </c>
      <c r="H109" t="s">
        <v>67</v>
      </c>
      <c r="I109" t="s">
        <v>63</v>
      </c>
    </row>
    <row r="110" spans="1:9" x14ac:dyDescent="0.25">
      <c r="A110" s="1">
        <v>45885</v>
      </c>
      <c r="B110" t="s">
        <v>9</v>
      </c>
      <c r="C110" t="s">
        <v>26</v>
      </c>
      <c r="D110" s="3">
        <v>0</v>
      </c>
      <c r="E110" s="3">
        <v>23606</v>
      </c>
      <c r="F110" s="3">
        <v>384068</v>
      </c>
      <c r="G110" t="s">
        <v>59</v>
      </c>
      <c r="H110" t="s">
        <v>69</v>
      </c>
      <c r="I110" t="s">
        <v>12</v>
      </c>
    </row>
    <row r="111" spans="1:9" x14ac:dyDescent="0.25">
      <c r="A111" s="1">
        <v>45902</v>
      </c>
      <c r="B111" t="s">
        <v>7</v>
      </c>
      <c r="C111" t="s">
        <v>28</v>
      </c>
      <c r="D111" s="3">
        <v>57157</v>
      </c>
      <c r="E111" s="3">
        <v>13782</v>
      </c>
      <c r="F111" s="3">
        <v>427443</v>
      </c>
      <c r="G111" t="s">
        <v>60</v>
      </c>
      <c r="H111" t="s">
        <v>68</v>
      </c>
      <c r="I111" t="s">
        <v>63</v>
      </c>
    </row>
    <row r="112" spans="1:9" x14ac:dyDescent="0.25">
      <c r="A112" s="1">
        <v>45919</v>
      </c>
      <c r="B112" t="s">
        <v>20</v>
      </c>
      <c r="C112" t="s">
        <v>26</v>
      </c>
      <c r="D112" s="3">
        <v>0</v>
      </c>
      <c r="E112" s="3">
        <v>13909</v>
      </c>
      <c r="F112" s="3">
        <v>413534</v>
      </c>
      <c r="G112" t="s">
        <v>61</v>
      </c>
      <c r="H112" t="s">
        <v>65</v>
      </c>
      <c r="I112" t="s">
        <v>64</v>
      </c>
    </row>
    <row r="113" spans="1:9" x14ac:dyDescent="0.25">
      <c r="A113" s="1">
        <v>45936</v>
      </c>
      <c r="B113" t="s">
        <v>16</v>
      </c>
      <c r="C113" t="s">
        <v>26</v>
      </c>
      <c r="D113" s="3">
        <v>10466</v>
      </c>
      <c r="E113" s="3">
        <v>0</v>
      </c>
      <c r="F113" s="3">
        <v>424000</v>
      </c>
      <c r="G113" t="s">
        <v>62</v>
      </c>
      <c r="H113" t="s">
        <v>66</v>
      </c>
      <c r="I113" t="s">
        <v>12</v>
      </c>
    </row>
    <row r="114" spans="1:9" x14ac:dyDescent="0.25">
      <c r="A114" s="1">
        <v>45953</v>
      </c>
      <c r="B114" t="s">
        <v>14</v>
      </c>
      <c r="C114" t="s">
        <v>32</v>
      </c>
      <c r="D114" s="3">
        <v>0</v>
      </c>
      <c r="E114" s="3">
        <v>13476</v>
      </c>
      <c r="F114" s="3">
        <v>410524</v>
      </c>
      <c r="G114" t="s">
        <v>61</v>
      </c>
      <c r="H114" t="s">
        <v>67</v>
      </c>
      <c r="I114" t="s">
        <v>63</v>
      </c>
    </row>
    <row r="115" spans="1:9" x14ac:dyDescent="0.25">
      <c r="A115" s="1">
        <v>45970</v>
      </c>
      <c r="B115" t="s">
        <v>17</v>
      </c>
      <c r="C115" t="s">
        <v>37</v>
      </c>
      <c r="D115" s="3">
        <v>0</v>
      </c>
      <c r="E115" s="3">
        <v>0</v>
      </c>
      <c r="F115" s="3">
        <v>410524</v>
      </c>
      <c r="G115" t="s">
        <v>62</v>
      </c>
      <c r="H115" t="s">
        <v>69</v>
      </c>
      <c r="I115" t="s">
        <v>64</v>
      </c>
    </row>
    <row r="116" spans="1:9" x14ac:dyDescent="0.25">
      <c r="A116" s="1">
        <v>45987</v>
      </c>
      <c r="B116" t="s">
        <v>14</v>
      </c>
      <c r="C116" t="s">
        <v>42</v>
      </c>
      <c r="D116" s="3">
        <v>18247</v>
      </c>
      <c r="E116" s="3">
        <v>24210</v>
      </c>
      <c r="F116" s="3">
        <v>404561</v>
      </c>
      <c r="G116" t="s">
        <v>58</v>
      </c>
      <c r="H116" t="s">
        <v>68</v>
      </c>
      <c r="I116" t="s">
        <v>12</v>
      </c>
    </row>
    <row r="117" spans="1:9" x14ac:dyDescent="0.25">
      <c r="A117" s="1">
        <v>46004</v>
      </c>
      <c r="B117" t="s">
        <v>19</v>
      </c>
      <c r="C117" t="s">
        <v>31</v>
      </c>
      <c r="D117" s="3">
        <v>10843</v>
      </c>
      <c r="E117" s="3">
        <v>0</v>
      </c>
      <c r="F117" s="3">
        <v>415404</v>
      </c>
      <c r="G117" t="s">
        <v>59</v>
      </c>
      <c r="H117" t="s">
        <v>65</v>
      </c>
      <c r="I117" t="s">
        <v>63</v>
      </c>
    </row>
    <row r="118" spans="1:9" x14ac:dyDescent="0.25">
      <c r="A118" s="1">
        <v>46021</v>
      </c>
      <c r="B118" t="s">
        <v>15</v>
      </c>
      <c r="C118" t="s">
        <v>26</v>
      </c>
      <c r="D118" s="3">
        <v>9780</v>
      </c>
      <c r="E118" s="3">
        <v>0</v>
      </c>
      <c r="F118" s="3">
        <v>425184</v>
      </c>
      <c r="G118" t="s">
        <v>60</v>
      </c>
      <c r="H118" t="s">
        <v>66</v>
      </c>
      <c r="I118" t="s">
        <v>12</v>
      </c>
    </row>
    <row r="119" spans="1:9" x14ac:dyDescent="0.25">
      <c r="A119" s="1">
        <v>43846</v>
      </c>
      <c r="B119" t="s">
        <v>6</v>
      </c>
      <c r="C119" t="s">
        <v>25</v>
      </c>
      <c r="D119" s="3">
        <v>53510</v>
      </c>
      <c r="E119" s="3">
        <v>23947</v>
      </c>
      <c r="F119" s="3">
        <v>454747</v>
      </c>
      <c r="G119" t="s">
        <v>61</v>
      </c>
      <c r="H119" t="s">
        <v>67</v>
      </c>
      <c r="I119" t="s">
        <v>63</v>
      </c>
    </row>
    <row r="120" spans="1:9" x14ac:dyDescent="0.25">
      <c r="A120" s="1">
        <v>43863</v>
      </c>
      <c r="B120" t="s">
        <v>10</v>
      </c>
      <c r="C120" t="s">
        <v>38</v>
      </c>
      <c r="D120" s="3">
        <v>0</v>
      </c>
      <c r="E120" s="3">
        <v>14543</v>
      </c>
      <c r="F120" s="3">
        <v>440204</v>
      </c>
      <c r="G120" t="s">
        <v>62</v>
      </c>
      <c r="H120" t="s">
        <v>69</v>
      </c>
      <c r="I120" t="s">
        <v>64</v>
      </c>
    </row>
    <row r="121" spans="1:9" x14ac:dyDescent="0.25">
      <c r="A121" s="1">
        <v>43880</v>
      </c>
      <c r="B121" t="s">
        <v>19</v>
      </c>
      <c r="C121" t="s">
        <v>32</v>
      </c>
      <c r="D121" s="3">
        <v>0</v>
      </c>
      <c r="E121" s="3">
        <v>23093</v>
      </c>
      <c r="F121" s="3">
        <v>417111</v>
      </c>
      <c r="G121" t="s">
        <v>58</v>
      </c>
      <c r="H121" t="s">
        <v>68</v>
      </c>
      <c r="I121" t="s">
        <v>12</v>
      </c>
    </row>
    <row r="122" spans="1:9" x14ac:dyDescent="0.25">
      <c r="A122" s="1">
        <v>43898</v>
      </c>
      <c r="B122" t="s">
        <v>13</v>
      </c>
      <c r="C122" t="s">
        <v>33</v>
      </c>
      <c r="D122" s="3">
        <v>39761</v>
      </c>
      <c r="E122" s="3">
        <v>0</v>
      </c>
      <c r="F122" s="3">
        <v>456872</v>
      </c>
      <c r="G122" t="s">
        <v>59</v>
      </c>
      <c r="H122" t="s">
        <v>65</v>
      </c>
      <c r="I122" t="s">
        <v>63</v>
      </c>
    </row>
    <row r="123" spans="1:9" x14ac:dyDescent="0.25">
      <c r="A123" s="1">
        <v>43915</v>
      </c>
      <c r="B123" t="s">
        <v>22</v>
      </c>
      <c r="C123" t="s">
        <v>39</v>
      </c>
      <c r="D123" s="3">
        <v>0</v>
      </c>
      <c r="E123" s="3">
        <v>0</v>
      </c>
      <c r="F123" s="3">
        <v>456872</v>
      </c>
      <c r="G123" t="s">
        <v>60</v>
      </c>
      <c r="H123" t="s">
        <v>66</v>
      </c>
      <c r="I123" t="s">
        <v>64</v>
      </c>
    </row>
    <row r="124" spans="1:9" x14ac:dyDescent="0.25">
      <c r="A124" s="1">
        <v>43932</v>
      </c>
      <c r="B124" t="s">
        <v>21</v>
      </c>
      <c r="C124" t="s">
        <v>24</v>
      </c>
      <c r="D124" s="3">
        <v>23726</v>
      </c>
      <c r="E124" s="3">
        <v>0</v>
      </c>
      <c r="F124" s="3">
        <v>480598</v>
      </c>
      <c r="G124" t="s">
        <v>61</v>
      </c>
      <c r="H124" t="s">
        <v>67</v>
      </c>
      <c r="I124" t="s">
        <v>12</v>
      </c>
    </row>
    <row r="125" spans="1:9" x14ac:dyDescent="0.25">
      <c r="A125" s="1">
        <v>43949</v>
      </c>
      <c r="B125" t="s">
        <v>17</v>
      </c>
      <c r="C125" t="s">
        <v>26</v>
      </c>
      <c r="D125" s="3">
        <v>0</v>
      </c>
      <c r="E125" s="3">
        <v>19765</v>
      </c>
      <c r="F125" s="3">
        <v>460833</v>
      </c>
      <c r="G125" t="s">
        <v>62</v>
      </c>
      <c r="H125" t="s">
        <v>69</v>
      </c>
      <c r="I125" t="s">
        <v>63</v>
      </c>
    </row>
    <row r="126" spans="1:9" x14ac:dyDescent="0.25">
      <c r="A126" s="1">
        <v>43966</v>
      </c>
      <c r="B126" t="s">
        <v>9</v>
      </c>
      <c r="C126" t="s">
        <v>28</v>
      </c>
      <c r="D126" s="3">
        <v>0</v>
      </c>
      <c r="E126" s="3">
        <v>10527</v>
      </c>
      <c r="F126" s="3">
        <v>450306</v>
      </c>
      <c r="G126" t="s">
        <v>61</v>
      </c>
      <c r="H126" t="s">
        <v>68</v>
      </c>
      <c r="I126" t="s">
        <v>12</v>
      </c>
    </row>
    <row r="127" spans="1:9" x14ac:dyDescent="0.25">
      <c r="A127" s="1">
        <v>43983</v>
      </c>
      <c r="B127" t="s">
        <v>7</v>
      </c>
      <c r="C127" t="s">
        <v>26</v>
      </c>
      <c r="D127" s="3">
        <v>0</v>
      </c>
      <c r="E127" s="3">
        <v>0</v>
      </c>
      <c r="F127" s="3">
        <v>450306</v>
      </c>
      <c r="G127" t="s">
        <v>62</v>
      </c>
      <c r="H127" t="s">
        <v>65</v>
      </c>
      <c r="I127" t="s">
        <v>63</v>
      </c>
    </row>
    <row r="128" spans="1:9" x14ac:dyDescent="0.25">
      <c r="A128" s="1">
        <v>44000</v>
      </c>
      <c r="B128" t="s">
        <v>20</v>
      </c>
      <c r="C128" t="s">
        <v>26</v>
      </c>
      <c r="D128" s="3">
        <v>0</v>
      </c>
      <c r="E128" s="3">
        <v>13236</v>
      </c>
      <c r="F128" s="3">
        <v>437070</v>
      </c>
      <c r="G128" t="s">
        <v>58</v>
      </c>
      <c r="H128" t="s">
        <v>66</v>
      </c>
      <c r="I128" t="s">
        <v>64</v>
      </c>
    </row>
    <row r="129" spans="1:9" x14ac:dyDescent="0.25">
      <c r="A129" s="1">
        <v>44017</v>
      </c>
      <c r="B129" t="s">
        <v>16</v>
      </c>
      <c r="C129" t="s">
        <v>32</v>
      </c>
      <c r="D129" s="3">
        <v>26410</v>
      </c>
      <c r="E129" s="3">
        <v>0</v>
      </c>
      <c r="F129" s="3">
        <v>463480</v>
      </c>
      <c r="G129" t="s">
        <v>59</v>
      </c>
      <c r="H129" t="s">
        <v>67</v>
      </c>
      <c r="I129" t="s">
        <v>12</v>
      </c>
    </row>
    <row r="130" spans="1:9" x14ac:dyDescent="0.25">
      <c r="A130" s="1">
        <v>44034</v>
      </c>
      <c r="B130" t="s">
        <v>14</v>
      </c>
      <c r="C130" t="s">
        <v>37</v>
      </c>
      <c r="D130" s="3">
        <v>33299</v>
      </c>
      <c r="E130" s="3">
        <v>0</v>
      </c>
      <c r="F130" s="3">
        <v>496779</v>
      </c>
      <c r="G130" t="s">
        <v>60</v>
      </c>
      <c r="H130" t="s">
        <v>69</v>
      </c>
      <c r="I130" t="s">
        <v>63</v>
      </c>
    </row>
    <row r="131" spans="1:9" x14ac:dyDescent="0.25">
      <c r="A131" s="1">
        <v>44051</v>
      </c>
      <c r="B131" t="s">
        <v>17</v>
      </c>
      <c r="C131" t="s">
        <v>42</v>
      </c>
      <c r="D131" s="3">
        <v>0</v>
      </c>
      <c r="E131" s="3">
        <v>0</v>
      </c>
      <c r="F131" s="3">
        <v>496779</v>
      </c>
      <c r="G131" t="s">
        <v>61</v>
      </c>
      <c r="H131" t="s">
        <v>68</v>
      </c>
      <c r="I131" t="s">
        <v>64</v>
      </c>
    </row>
    <row r="132" spans="1:9" x14ac:dyDescent="0.25">
      <c r="A132" s="1">
        <v>44068</v>
      </c>
      <c r="B132" t="s">
        <v>14</v>
      </c>
      <c r="C132" t="s">
        <v>31</v>
      </c>
      <c r="D132" s="3">
        <v>0</v>
      </c>
      <c r="E132" s="3">
        <v>0</v>
      </c>
      <c r="F132" s="3">
        <v>496779</v>
      </c>
      <c r="G132" t="s">
        <v>62</v>
      </c>
      <c r="H132" t="s">
        <v>65</v>
      </c>
      <c r="I132" t="s">
        <v>12</v>
      </c>
    </row>
    <row r="133" spans="1:9" x14ac:dyDescent="0.25">
      <c r="A133" s="1">
        <v>44085</v>
      </c>
      <c r="B133" t="s">
        <v>19</v>
      </c>
      <c r="C133" t="s">
        <v>26</v>
      </c>
      <c r="D133" s="3">
        <v>0</v>
      </c>
      <c r="E133" s="3">
        <v>16042</v>
      </c>
      <c r="F133" s="3">
        <v>480737</v>
      </c>
      <c r="G133" t="s">
        <v>58</v>
      </c>
      <c r="H133" t="s">
        <v>66</v>
      </c>
      <c r="I133" t="s">
        <v>63</v>
      </c>
    </row>
    <row r="134" spans="1:9" x14ac:dyDescent="0.25">
      <c r="A134" s="1">
        <v>44102</v>
      </c>
      <c r="B134" t="s">
        <v>15</v>
      </c>
      <c r="C134" t="s">
        <v>25</v>
      </c>
      <c r="D134" s="3">
        <v>0</v>
      </c>
      <c r="E134" s="3">
        <v>0</v>
      </c>
      <c r="F134" s="3">
        <v>480737</v>
      </c>
      <c r="G134" t="s">
        <v>59</v>
      </c>
      <c r="H134" t="s">
        <v>67</v>
      </c>
      <c r="I134" t="s">
        <v>12</v>
      </c>
    </row>
    <row r="135" spans="1:9" x14ac:dyDescent="0.25">
      <c r="A135" s="1">
        <v>44119</v>
      </c>
      <c r="B135" t="s">
        <v>6</v>
      </c>
      <c r="C135" t="s">
        <v>38</v>
      </c>
      <c r="D135" s="3">
        <v>51220</v>
      </c>
      <c r="E135" s="3">
        <v>5352</v>
      </c>
      <c r="F135" s="3">
        <v>526605</v>
      </c>
      <c r="G135" t="s">
        <v>60</v>
      </c>
      <c r="H135" t="s">
        <v>69</v>
      </c>
      <c r="I135" t="s">
        <v>63</v>
      </c>
    </row>
    <row r="136" spans="1:9" x14ac:dyDescent="0.25">
      <c r="A136" s="1">
        <v>44136</v>
      </c>
      <c r="B136" t="s">
        <v>10</v>
      </c>
      <c r="C136" t="s">
        <v>32</v>
      </c>
      <c r="D136" s="3">
        <v>19641</v>
      </c>
      <c r="E136" s="3">
        <v>6445</v>
      </c>
      <c r="F136" s="3">
        <v>539801</v>
      </c>
      <c r="G136" t="s">
        <v>61</v>
      </c>
      <c r="H136" t="s">
        <v>68</v>
      </c>
      <c r="I136" t="s">
        <v>64</v>
      </c>
    </row>
    <row r="137" spans="1:9" x14ac:dyDescent="0.25">
      <c r="A137" s="1">
        <v>44153</v>
      </c>
      <c r="B137" t="s">
        <v>19</v>
      </c>
      <c r="C137" t="s">
        <v>33</v>
      </c>
      <c r="D137" s="3">
        <v>24750</v>
      </c>
      <c r="E137" s="3">
        <v>0</v>
      </c>
      <c r="F137" s="3">
        <v>564551</v>
      </c>
      <c r="G137" t="s">
        <v>62</v>
      </c>
      <c r="H137" t="s">
        <v>65</v>
      </c>
      <c r="I137" t="s">
        <v>12</v>
      </c>
    </row>
    <row r="138" spans="1:9" x14ac:dyDescent="0.25">
      <c r="A138" s="1">
        <v>44170</v>
      </c>
      <c r="B138" t="s">
        <v>13</v>
      </c>
      <c r="C138" t="s">
        <v>39</v>
      </c>
      <c r="D138" s="3">
        <v>31533</v>
      </c>
      <c r="E138" s="3">
        <v>11551</v>
      </c>
      <c r="F138" s="3">
        <v>584533</v>
      </c>
      <c r="G138" t="s">
        <v>61</v>
      </c>
      <c r="H138" t="s">
        <v>66</v>
      </c>
      <c r="I138" t="s">
        <v>63</v>
      </c>
    </row>
    <row r="139" spans="1:9" x14ac:dyDescent="0.25">
      <c r="A139" s="1">
        <v>44187</v>
      </c>
      <c r="B139" t="s">
        <v>22</v>
      </c>
      <c r="C139" t="s">
        <v>24</v>
      </c>
      <c r="D139" s="3">
        <v>20378</v>
      </c>
      <c r="E139" s="3">
        <v>24584</v>
      </c>
      <c r="F139" s="3">
        <v>580327</v>
      </c>
      <c r="G139" t="s">
        <v>62</v>
      </c>
      <c r="H139" t="s">
        <v>67</v>
      </c>
      <c r="I139" t="s">
        <v>64</v>
      </c>
    </row>
    <row r="140" spans="1:9" x14ac:dyDescent="0.25">
      <c r="A140" s="1">
        <v>44204</v>
      </c>
      <c r="B140" t="s">
        <v>21</v>
      </c>
      <c r="C140" t="s">
        <v>26</v>
      </c>
      <c r="D140" s="3">
        <v>38701</v>
      </c>
      <c r="E140" s="3">
        <v>5851</v>
      </c>
      <c r="F140" s="3">
        <v>613177</v>
      </c>
      <c r="G140" t="s">
        <v>58</v>
      </c>
      <c r="H140" t="s">
        <v>69</v>
      </c>
      <c r="I140" t="s">
        <v>12</v>
      </c>
    </row>
    <row r="141" spans="1:9" x14ac:dyDescent="0.25">
      <c r="A141" s="1">
        <v>44221</v>
      </c>
      <c r="B141" t="s">
        <v>17</v>
      </c>
      <c r="C141" t="s">
        <v>28</v>
      </c>
      <c r="D141" s="3">
        <v>30007</v>
      </c>
      <c r="E141" s="3">
        <v>9527</v>
      </c>
      <c r="F141" s="3">
        <v>633657</v>
      </c>
      <c r="G141" t="s">
        <v>59</v>
      </c>
      <c r="H141" t="s">
        <v>68</v>
      </c>
      <c r="I141" t="s">
        <v>63</v>
      </c>
    </row>
    <row r="142" spans="1:9" x14ac:dyDescent="0.25">
      <c r="A142" s="1">
        <v>44238</v>
      </c>
      <c r="B142" t="s">
        <v>9</v>
      </c>
      <c r="C142" t="s">
        <v>26</v>
      </c>
      <c r="D142" s="3">
        <v>42755</v>
      </c>
      <c r="E142" s="3">
        <v>11724</v>
      </c>
      <c r="F142" s="3">
        <v>664688</v>
      </c>
      <c r="G142" t="s">
        <v>60</v>
      </c>
      <c r="H142" t="s">
        <v>65</v>
      </c>
      <c r="I142" t="s">
        <v>12</v>
      </c>
    </row>
    <row r="143" spans="1:9" x14ac:dyDescent="0.25">
      <c r="A143" s="1">
        <v>44255</v>
      </c>
      <c r="B143" t="s">
        <v>7</v>
      </c>
      <c r="C143" t="s">
        <v>26</v>
      </c>
      <c r="D143" s="3">
        <v>0</v>
      </c>
      <c r="E143" s="3">
        <v>0</v>
      </c>
      <c r="F143" s="3">
        <v>664688</v>
      </c>
      <c r="G143" t="s">
        <v>61</v>
      </c>
      <c r="H143" t="s">
        <v>66</v>
      </c>
      <c r="I143" t="s">
        <v>63</v>
      </c>
    </row>
    <row r="144" spans="1:9" x14ac:dyDescent="0.25">
      <c r="A144" s="1">
        <v>44272</v>
      </c>
      <c r="B144" t="s">
        <v>20</v>
      </c>
      <c r="C144" t="s">
        <v>32</v>
      </c>
      <c r="D144" s="3">
        <v>30886</v>
      </c>
      <c r="E144" s="3">
        <v>10084</v>
      </c>
      <c r="F144" s="3">
        <v>685490</v>
      </c>
      <c r="G144" t="s">
        <v>62</v>
      </c>
      <c r="H144" t="s">
        <v>67</v>
      </c>
      <c r="I144" t="s">
        <v>64</v>
      </c>
    </row>
    <row r="145" spans="1:9" x14ac:dyDescent="0.25">
      <c r="A145" s="1">
        <v>44289</v>
      </c>
      <c r="B145" t="s">
        <v>16</v>
      </c>
      <c r="C145" t="s">
        <v>37</v>
      </c>
      <c r="D145" s="3">
        <v>13692</v>
      </c>
      <c r="E145" s="3">
        <v>0</v>
      </c>
      <c r="F145" s="3">
        <v>699182</v>
      </c>
      <c r="G145" t="s">
        <v>58</v>
      </c>
      <c r="H145" t="s">
        <v>69</v>
      </c>
      <c r="I145" t="s">
        <v>12</v>
      </c>
    </row>
    <row r="146" spans="1:9" x14ac:dyDescent="0.25">
      <c r="A146" s="1">
        <v>44306</v>
      </c>
      <c r="B146" t="s">
        <v>14</v>
      </c>
      <c r="C146" t="s">
        <v>42</v>
      </c>
      <c r="D146" s="3">
        <v>9596</v>
      </c>
      <c r="E146" s="3">
        <v>0</v>
      </c>
      <c r="F146" s="3">
        <v>708778</v>
      </c>
      <c r="G146" t="s">
        <v>59</v>
      </c>
      <c r="H146" t="s">
        <v>68</v>
      </c>
      <c r="I146" t="s">
        <v>63</v>
      </c>
    </row>
    <row r="147" spans="1:9" x14ac:dyDescent="0.25">
      <c r="A147" s="1">
        <v>44323</v>
      </c>
      <c r="B147" t="s">
        <v>17</v>
      </c>
      <c r="C147" t="s">
        <v>31</v>
      </c>
      <c r="D147" s="3">
        <v>31856</v>
      </c>
      <c r="E147" s="3">
        <v>13463</v>
      </c>
      <c r="F147" s="3">
        <v>727171</v>
      </c>
      <c r="G147" t="s">
        <v>60</v>
      </c>
      <c r="H147" t="s">
        <v>65</v>
      </c>
      <c r="I147" t="s">
        <v>64</v>
      </c>
    </row>
    <row r="148" spans="1:9" x14ac:dyDescent="0.25">
      <c r="A148" s="1">
        <v>44340</v>
      </c>
      <c r="B148" t="s">
        <v>14</v>
      </c>
      <c r="C148" t="s">
        <v>26</v>
      </c>
      <c r="D148" s="3">
        <v>0</v>
      </c>
      <c r="E148" s="3">
        <v>18843</v>
      </c>
      <c r="F148" s="3">
        <v>708328</v>
      </c>
      <c r="G148" t="s">
        <v>61</v>
      </c>
      <c r="H148" t="s">
        <v>66</v>
      </c>
      <c r="I148" t="s">
        <v>12</v>
      </c>
    </row>
    <row r="149" spans="1:9" x14ac:dyDescent="0.25">
      <c r="A149" s="1">
        <v>44357</v>
      </c>
      <c r="B149" t="s">
        <v>19</v>
      </c>
      <c r="C149" t="s">
        <v>25</v>
      </c>
      <c r="D149" s="3">
        <v>0</v>
      </c>
      <c r="E149" s="3">
        <v>2359</v>
      </c>
      <c r="F149" s="3">
        <v>705969</v>
      </c>
      <c r="G149" t="s">
        <v>62</v>
      </c>
      <c r="H149" t="s">
        <v>67</v>
      </c>
      <c r="I149" t="s">
        <v>63</v>
      </c>
    </row>
    <row r="150" spans="1:9" x14ac:dyDescent="0.25">
      <c r="A150" s="1">
        <v>44374</v>
      </c>
      <c r="B150" t="s">
        <v>15</v>
      </c>
      <c r="C150" t="s">
        <v>38</v>
      </c>
      <c r="D150" s="3">
        <v>0</v>
      </c>
      <c r="E150" s="3">
        <v>0</v>
      </c>
      <c r="F150" s="3">
        <v>705969</v>
      </c>
      <c r="G150" t="s">
        <v>61</v>
      </c>
      <c r="H150" t="s">
        <v>69</v>
      </c>
      <c r="I150" t="s">
        <v>12</v>
      </c>
    </row>
    <row r="151" spans="1:9" x14ac:dyDescent="0.25">
      <c r="A151" s="1">
        <v>44391</v>
      </c>
      <c r="B151" t="s">
        <v>6</v>
      </c>
      <c r="C151" t="s">
        <v>32</v>
      </c>
      <c r="D151" s="3">
        <v>0</v>
      </c>
      <c r="E151" s="3">
        <v>22551</v>
      </c>
      <c r="F151" s="3">
        <v>683418</v>
      </c>
      <c r="G151" t="s">
        <v>62</v>
      </c>
      <c r="H151" t="s">
        <v>68</v>
      </c>
      <c r="I151" t="s">
        <v>63</v>
      </c>
    </row>
    <row r="152" spans="1:9" x14ac:dyDescent="0.25">
      <c r="A152" s="1">
        <v>44408</v>
      </c>
      <c r="B152" t="s">
        <v>10</v>
      </c>
      <c r="C152" t="s">
        <v>33</v>
      </c>
      <c r="D152" s="3">
        <v>0</v>
      </c>
      <c r="E152" s="3">
        <v>2268</v>
      </c>
      <c r="F152" s="3">
        <v>681150</v>
      </c>
      <c r="G152" t="s">
        <v>58</v>
      </c>
      <c r="H152" t="s">
        <v>65</v>
      </c>
      <c r="I152" t="s">
        <v>64</v>
      </c>
    </row>
    <row r="153" spans="1:9" x14ac:dyDescent="0.25">
      <c r="A153" s="1">
        <v>44425</v>
      </c>
      <c r="B153" t="s">
        <v>19</v>
      </c>
      <c r="C153" t="s">
        <v>39</v>
      </c>
      <c r="D153" s="3">
        <v>0</v>
      </c>
      <c r="E153" s="3">
        <v>10096</v>
      </c>
      <c r="F153" s="3">
        <v>671054</v>
      </c>
      <c r="G153" t="s">
        <v>59</v>
      </c>
      <c r="H153" t="s">
        <v>66</v>
      </c>
      <c r="I153" t="s">
        <v>12</v>
      </c>
    </row>
    <row r="154" spans="1:9" x14ac:dyDescent="0.25">
      <c r="A154" s="1">
        <v>44442</v>
      </c>
      <c r="B154" t="s">
        <v>13</v>
      </c>
      <c r="C154" t="s">
        <v>24</v>
      </c>
      <c r="D154" s="3">
        <v>0</v>
      </c>
      <c r="E154" s="3">
        <v>0</v>
      </c>
      <c r="F154" s="3">
        <v>671054</v>
      </c>
      <c r="G154" t="s">
        <v>60</v>
      </c>
      <c r="H154" t="s">
        <v>67</v>
      </c>
      <c r="I154" t="s">
        <v>63</v>
      </c>
    </row>
    <row r="155" spans="1:9" x14ac:dyDescent="0.25">
      <c r="A155" s="1">
        <v>44459</v>
      </c>
      <c r="B155" t="s">
        <v>22</v>
      </c>
      <c r="C155" t="s">
        <v>26</v>
      </c>
      <c r="D155" s="3">
        <v>53442</v>
      </c>
      <c r="E155" s="3">
        <v>0</v>
      </c>
      <c r="F155" s="3">
        <v>724496</v>
      </c>
      <c r="G155" t="s">
        <v>61</v>
      </c>
      <c r="H155" t="s">
        <v>69</v>
      </c>
      <c r="I155" t="s">
        <v>64</v>
      </c>
    </row>
    <row r="156" spans="1:9" x14ac:dyDescent="0.25">
      <c r="A156" s="1">
        <v>44476</v>
      </c>
      <c r="B156" t="s">
        <v>21</v>
      </c>
      <c r="C156" t="s">
        <v>28</v>
      </c>
      <c r="D156" s="3">
        <v>13418</v>
      </c>
      <c r="E156" s="3">
        <v>22044</v>
      </c>
      <c r="F156" s="3">
        <v>715870</v>
      </c>
      <c r="G156" t="s">
        <v>62</v>
      </c>
      <c r="H156" t="s">
        <v>68</v>
      </c>
      <c r="I156" t="s">
        <v>12</v>
      </c>
    </row>
    <row r="157" spans="1:9" x14ac:dyDescent="0.25">
      <c r="A157" s="1">
        <v>44493</v>
      </c>
      <c r="B157" t="s">
        <v>17</v>
      </c>
      <c r="C157" t="s">
        <v>26</v>
      </c>
      <c r="D157" s="3">
        <v>56454</v>
      </c>
      <c r="E157" s="3">
        <v>5608</v>
      </c>
      <c r="F157" s="3">
        <v>766716</v>
      </c>
      <c r="G157" t="s">
        <v>58</v>
      </c>
      <c r="H157" t="s">
        <v>65</v>
      </c>
      <c r="I157" t="s">
        <v>63</v>
      </c>
    </row>
    <row r="158" spans="1:9" x14ac:dyDescent="0.25">
      <c r="A158" s="1">
        <v>44510</v>
      </c>
      <c r="B158" t="s">
        <v>9</v>
      </c>
      <c r="C158" t="s">
        <v>26</v>
      </c>
      <c r="D158" s="3">
        <v>48940</v>
      </c>
      <c r="E158" s="3">
        <v>0</v>
      </c>
      <c r="F158" s="3">
        <v>815656</v>
      </c>
      <c r="G158" t="s">
        <v>59</v>
      </c>
      <c r="H158" t="s">
        <v>66</v>
      </c>
      <c r="I158" t="s">
        <v>12</v>
      </c>
    </row>
    <row r="159" spans="1:9" x14ac:dyDescent="0.25">
      <c r="A159" s="1">
        <v>44527</v>
      </c>
      <c r="B159" t="s">
        <v>7</v>
      </c>
      <c r="C159" t="s">
        <v>32</v>
      </c>
      <c r="D159" s="3">
        <v>32656</v>
      </c>
      <c r="E159" s="3">
        <v>0</v>
      </c>
      <c r="F159" s="3">
        <v>848312</v>
      </c>
      <c r="G159" t="s">
        <v>60</v>
      </c>
      <c r="H159" t="s">
        <v>67</v>
      </c>
      <c r="I159" t="s">
        <v>63</v>
      </c>
    </row>
    <row r="160" spans="1:9" x14ac:dyDescent="0.25">
      <c r="A160" s="1">
        <v>44544</v>
      </c>
      <c r="B160" t="s">
        <v>20</v>
      </c>
      <c r="C160" t="s">
        <v>37</v>
      </c>
      <c r="D160" s="3">
        <v>24389</v>
      </c>
      <c r="E160" s="3">
        <v>18977</v>
      </c>
      <c r="F160" s="3">
        <v>853724</v>
      </c>
      <c r="G160" t="s">
        <v>61</v>
      </c>
      <c r="H160" t="s">
        <v>69</v>
      </c>
      <c r="I160" t="s">
        <v>64</v>
      </c>
    </row>
    <row r="161" spans="1:9" x14ac:dyDescent="0.25">
      <c r="A161" s="1">
        <v>44561</v>
      </c>
      <c r="B161" t="s">
        <v>16</v>
      </c>
      <c r="C161" t="s">
        <v>42</v>
      </c>
      <c r="D161" s="3">
        <v>0</v>
      </c>
      <c r="E161" s="3">
        <v>0</v>
      </c>
      <c r="F161" s="3">
        <v>853724</v>
      </c>
      <c r="G161" t="s">
        <v>62</v>
      </c>
      <c r="H161" t="s">
        <v>68</v>
      </c>
      <c r="I161" t="s">
        <v>12</v>
      </c>
    </row>
    <row r="162" spans="1:9" x14ac:dyDescent="0.25">
      <c r="A162" s="1">
        <v>44578</v>
      </c>
      <c r="B162" t="s">
        <v>14</v>
      </c>
      <c r="C162" t="s">
        <v>31</v>
      </c>
      <c r="D162" s="3">
        <v>0</v>
      </c>
      <c r="E162" s="3">
        <v>1052</v>
      </c>
      <c r="F162" s="3">
        <v>852672</v>
      </c>
      <c r="G162" t="s">
        <v>61</v>
      </c>
      <c r="H162" t="s">
        <v>65</v>
      </c>
      <c r="I162" t="s">
        <v>63</v>
      </c>
    </row>
    <row r="163" spans="1:9" x14ac:dyDescent="0.25">
      <c r="A163" s="1">
        <v>44595</v>
      </c>
      <c r="B163" t="s">
        <v>17</v>
      </c>
      <c r="C163" t="s">
        <v>26</v>
      </c>
      <c r="D163" s="3">
        <v>0</v>
      </c>
      <c r="E163" s="3">
        <v>0</v>
      </c>
      <c r="F163" s="3">
        <v>852672</v>
      </c>
      <c r="G163" t="s">
        <v>62</v>
      </c>
      <c r="H163" t="s">
        <v>66</v>
      </c>
      <c r="I163" t="s">
        <v>64</v>
      </c>
    </row>
    <row r="164" spans="1:9" x14ac:dyDescent="0.25">
      <c r="A164" s="1">
        <v>44612</v>
      </c>
      <c r="B164" t="s">
        <v>14</v>
      </c>
      <c r="C164" t="s">
        <v>25</v>
      </c>
      <c r="D164" s="3">
        <v>0</v>
      </c>
      <c r="E164" s="3">
        <v>17403</v>
      </c>
      <c r="F164" s="3">
        <v>835269</v>
      </c>
      <c r="G164" t="s">
        <v>58</v>
      </c>
      <c r="H164" t="s">
        <v>67</v>
      </c>
      <c r="I164" t="s">
        <v>12</v>
      </c>
    </row>
    <row r="165" spans="1:9" x14ac:dyDescent="0.25">
      <c r="A165" s="1">
        <v>44628</v>
      </c>
      <c r="B165" t="s">
        <v>19</v>
      </c>
      <c r="C165" t="s">
        <v>38</v>
      </c>
      <c r="D165" s="3">
        <v>0</v>
      </c>
      <c r="E165" s="3">
        <v>0</v>
      </c>
      <c r="F165" s="3">
        <v>835269</v>
      </c>
      <c r="G165" t="s">
        <v>59</v>
      </c>
      <c r="H165" t="s">
        <v>69</v>
      </c>
      <c r="I165" t="s">
        <v>63</v>
      </c>
    </row>
    <row r="166" spans="1:9" x14ac:dyDescent="0.25">
      <c r="A166" s="1">
        <v>44645</v>
      </c>
      <c r="B166" t="s">
        <v>15</v>
      </c>
      <c r="C166" t="s">
        <v>32</v>
      </c>
      <c r="D166" s="3">
        <v>0</v>
      </c>
      <c r="E166" s="3">
        <v>0</v>
      </c>
      <c r="F166" s="3">
        <v>835269</v>
      </c>
      <c r="G166" t="s">
        <v>60</v>
      </c>
      <c r="H166" t="s">
        <v>68</v>
      </c>
      <c r="I166" t="s">
        <v>12</v>
      </c>
    </row>
    <row r="167" spans="1:9" x14ac:dyDescent="0.25">
      <c r="A167" s="1">
        <v>44662</v>
      </c>
      <c r="B167" t="s">
        <v>6</v>
      </c>
      <c r="C167" t="s">
        <v>33</v>
      </c>
      <c r="D167" s="3">
        <v>0</v>
      </c>
      <c r="E167" s="3">
        <v>19788</v>
      </c>
      <c r="F167" s="3">
        <v>815481</v>
      </c>
      <c r="G167" t="s">
        <v>61</v>
      </c>
      <c r="H167" t="s">
        <v>65</v>
      </c>
      <c r="I167" t="s">
        <v>63</v>
      </c>
    </row>
    <row r="168" spans="1:9" x14ac:dyDescent="0.25">
      <c r="A168" s="1">
        <v>44679</v>
      </c>
      <c r="B168" t="s">
        <v>10</v>
      </c>
      <c r="C168" t="s">
        <v>39</v>
      </c>
      <c r="D168" s="3">
        <v>5804</v>
      </c>
      <c r="E168" s="3">
        <v>6241</v>
      </c>
      <c r="F168" s="3">
        <v>815044</v>
      </c>
      <c r="G168" t="s">
        <v>62</v>
      </c>
      <c r="H168" t="s">
        <v>66</v>
      </c>
      <c r="I168" t="s">
        <v>64</v>
      </c>
    </row>
    <row r="169" spans="1:9" x14ac:dyDescent="0.25">
      <c r="A169" s="1">
        <v>44696</v>
      </c>
      <c r="B169" t="s">
        <v>19</v>
      </c>
      <c r="C169" t="s">
        <v>24</v>
      </c>
      <c r="D169" s="3">
        <v>42784</v>
      </c>
      <c r="E169" s="3">
        <v>10436</v>
      </c>
      <c r="F169" s="3">
        <v>847392</v>
      </c>
      <c r="G169" t="s">
        <v>58</v>
      </c>
      <c r="H169" t="s">
        <v>67</v>
      </c>
      <c r="I169" t="s">
        <v>12</v>
      </c>
    </row>
    <row r="170" spans="1:9" x14ac:dyDescent="0.25">
      <c r="A170" s="1">
        <v>44713</v>
      </c>
      <c r="B170" t="s">
        <v>13</v>
      </c>
      <c r="C170" t="s">
        <v>26</v>
      </c>
      <c r="D170" s="3">
        <v>0</v>
      </c>
      <c r="E170" s="3">
        <v>2565</v>
      </c>
      <c r="F170" s="3">
        <v>844827</v>
      </c>
      <c r="G170" t="s">
        <v>59</v>
      </c>
      <c r="H170" t="s">
        <v>69</v>
      </c>
      <c r="I170" t="s">
        <v>63</v>
      </c>
    </row>
    <row r="171" spans="1:9" x14ac:dyDescent="0.25">
      <c r="A171" s="1">
        <v>44730</v>
      </c>
      <c r="B171" t="s">
        <v>22</v>
      </c>
      <c r="C171" t="s">
        <v>28</v>
      </c>
      <c r="D171" s="3">
        <v>0</v>
      </c>
      <c r="E171" s="3">
        <v>22148</v>
      </c>
      <c r="F171" s="3">
        <v>822679</v>
      </c>
      <c r="G171" t="s">
        <v>60</v>
      </c>
      <c r="H171" t="s">
        <v>68</v>
      </c>
      <c r="I171" t="s">
        <v>64</v>
      </c>
    </row>
    <row r="172" spans="1:9" x14ac:dyDescent="0.25">
      <c r="A172" s="1">
        <v>44747</v>
      </c>
      <c r="B172" t="s">
        <v>21</v>
      </c>
      <c r="C172" t="s">
        <v>26</v>
      </c>
      <c r="D172" s="3">
        <v>0</v>
      </c>
      <c r="E172" s="3">
        <v>0</v>
      </c>
      <c r="F172" s="3">
        <v>822679</v>
      </c>
      <c r="G172" t="s">
        <v>61</v>
      </c>
      <c r="H172" t="s">
        <v>65</v>
      </c>
      <c r="I172" t="s">
        <v>12</v>
      </c>
    </row>
    <row r="173" spans="1:9" x14ac:dyDescent="0.25">
      <c r="A173" s="1">
        <v>44764</v>
      </c>
      <c r="B173" t="s">
        <v>17</v>
      </c>
      <c r="C173" t="s">
        <v>26</v>
      </c>
      <c r="D173" s="3">
        <v>49068</v>
      </c>
      <c r="E173" s="3">
        <v>10747</v>
      </c>
      <c r="F173" s="3">
        <v>861000</v>
      </c>
      <c r="G173" t="s">
        <v>62</v>
      </c>
      <c r="H173" t="s">
        <v>66</v>
      </c>
      <c r="I173" t="s">
        <v>63</v>
      </c>
    </row>
    <row r="174" spans="1:9" x14ac:dyDescent="0.25">
      <c r="A174" s="1">
        <v>44781</v>
      </c>
      <c r="B174" t="s">
        <v>9</v>
      </c>
      <c r="C174" t="s">
        <v>32</v>
      </c>
      <c r="D174" s="3">
        <v>41577</v>
      </c>
      <c r="E174" s="3">
        <v>16619</v>
      </c>
      <c r="F174" s="3">
        <v>885958</v>
      </c>
      <c r="G174" t="s">
        <v>61</v>
      </c>
      <c r="H174" t="s">
        <v>67</v>
      </c>
      <c r="I174" t="s">
        <v>12</v>
      </c>
    </row>
    <row r="175" spans="1:9" x14ac:dyDescent="0.25">
      <c r="A175" s="1">
        <v>44798</v>
      </c>
      <c r="B175" t="s">
        <v>7</v>
      </c>
      <c r="C175" t="s">
        <v>37</v>
      </c>
      <c r="D175" s="3">
        <v>22227</v>
      </c>
      <c r="E175" s="3">
        <v>0</v>
      </c>
      <c r="F175" s="3">
        <v>908185</v>
      </c>
      <c r="G175" t="s">
        <v>62</v>
      </c>
      <c r="H175" t="s">
        <v>69</v>
      </c>
      <c r="I175" t="s">
        <v>63</v>
      </c>
    </row>
    <row r="176" spans="1:9" x14ac:dyDescent="0.25">
      <c r="A176" s="1">
        <v>44815</v>
      </c>
      <c r="B176" t="s">
        <v>20</v>
      </c>
      <c r="C176" t="s">
        <v>42</v>
      </c>
      <c r="D176" s="3">
        <v>16273</v>
      </c>
      <c r="E176" s="3">
        <v>0</v>
      </c>
      <c r="F176" s="3">
        <v>924458</v>
      </c>
      <c r="G176" t="s">
        <v>58</v>
      </c>
      <c r="H176" t="s">
        <v>68</v>
      </c>
      <c r="I176" t="s">
        <v>64</v>
      </c>
    </row>
    <row r="177" spans="1:9" x14ac:dyDescent="0.25">
      <c r="A177" s="1">
        <v>44832</v>
      </c>
      <c r="B177" t="s">
        <v>16</v>
      </c>
      <c r="C177" t="s">
        <v>31</v>
      </c>
      <c r="D177" s="3">
        <v>0</v>
      </c>
      <c r="E177" s="3">
        <v>0</v>
      </c>
      <c r="F177" s="3">
        <v>924458</v>
      </c>
      <c r="G177" t="s">
        <v>59</v>
      </c>
      <c r="H177" t="s">
        <v>65</v>
      </c>
      <c r="I177" t="s">
        <v>12</v>
      </c>
    </row>
    <row r="178" spans="1:9" x14ac:dyDescent="0.25">
      <c r="A178" s="1">
        <v>44849</v>
      </c>
      <c r="B178" t="s">
        <v>14</v>
      </c>
      <c r="C178" t="s">
        <v>26</v>
      </c>
      <c r="D178" s="3">
        <v>0</v>
      </c>
      <c r="E178" s="3">
        <v>0</v>
      </c>
      <c r="F178" s="3">
        <v>924458</v>
      </c>
      <c r="G178" t="s">
        <v>60</v>
      </c>
      <c r="H178" t="s">
        <v>66</v>
      </c>
      <c r="I178" t="s">
        <v>63</v>
      </c>
    </row>
    <row r="179" spans="1:9" x14ac:dyDescent="0.25">
      <c r="A179" s="1">
        <v>44866</v>
      </c>
      <c r="B179" t="s">
        <v>17</v>
      </c>
      <c r="C179" t="s">
        <v>25</v>
      </c>
      <c r="D179" s="3">
        <v>0</v>
      </c>
      <c r="E179" s="3">
        <v>0</v>
      </c>
      <c r="F179" s="3">
        <v>924458</v>
      </c>
      <c r="G179" t="s">
        <v>61</v>
      </c>
      <c r="H179" t="s">
        <v>67</v>
      </c>
      <c r="I179" t="s">
        <v>64</v>
      </c>
    </row>
    <row r="180" spans="1:9" x14ac:dyDescent="0.25">
      <c r="A180" s="1">
        <v>44883</v>
      </c>
      <c r="B180" t="s">
        <v>14</v>
      </c>
      <c r="C180" t="s">
        <v>38</v>
      </c>
      <c r="D180" s="3">
        <v>0</v>
      </c>
      <c r="E180" s="3">
        <v>19600</v>
      </c>
      <c r="F180" s="3">
        <v>904858</v>
      </c>
      <c r="G180" t="s">
        <v>62</v>
      </c>
      <c r="H180" t="s">
        <v>69</v>
      </c>
      <c r="I180" t="s">
        <v>12</v>
      </c>
    </row>
    <row r="181" spans="1:9" x14ac:dyDescent="0.25">
      <c r="A181" s="1">
        <v>44900</v>
      </c>
      <c r="B181" t="s">
        <v>19</v>
      </c>
      <c r="C181" t="s">
        <v>32</v>
      </c>
      <c r="D181" s="3">
        <v>0</v>
      </c>
      <c r="E181" s="3">
        <v>0</v>
      </c>
      <c r="F181" s="3">
        <v>904858</v>
      </c>
      <c r="G181" t="s">
        <v>58</v>
      </c>
      <c r="H181" t="s">
        <v>68</v>
      </c>
      <c r="I181" t="s">
        <v>63</v>
      </c>
    </row>
    <row r="182" spans="1:9" x14ac:dyDescent="0.25">
      <c r="A182" s="1">
        <v>44917</v>
      </c>
      <c r="B182" t="s">
        <v>15</v>
      </c>
      <c r="C182" t="s">
        <v>33</v>
      </c>
      <c r="D182" s="3">
        <v>0</v>
      </c>
      <c r="E182" s="3">
        <v>21970</v>
      </c>
      <c r="F182" s="3">
        <v>882888</v>
      </c>
      <c r="G182" t="s">
        <v>59</v>
      </c>
      <c r="H182" t="s">
        <v>65</v>
      </c>
      <c r="I182" t="s">
        <v>12</v>
      </c>
    </row>
    <row r="183" spans="1:9" x14ac:dyDescent="0.25">
      <c r="A183" s="1">
        <v>44204</v>
      </c>
      <c r="B183" t="s">
        <v>6</v>
      </c>
      <c r="C183" t="s">
        <v>39</v>
      </c>
      <c r="D183" s="3">
        <v>0</v>
      </c>
      <c r="E183" s="3">
        <v>0</v>
      </c>
      <c r="F183" s="3">
        <v>882888</v>
      </c>
      <c r="G183" t="s">
        <v>60</v>
      </c>
      <c r="H183" t="s">
        <v>66</v>
      </c>
      <c r="I183" t="s">
        <v>63</v>
      </c>
    </row>
    <row r="184" spans="1:9" x14ac:dyDescent="0.25">
      <c r="A184" s="1">
        <v>44221</v>
      </c>
      <c r="B184" t="s">
        <v>10</v>
      </c>
      <c r="C184" t="s">
        <v>24</v>
      </c>
      <c r="D184" s="3">
        <v>46547</v>
      </c>
      <c r="E184" s="3">
        <v>6597</v>
      </c>
      <c r="F184" s="3">
        <v>922838</v>
      </c>
      <c r="G184" t="s">
        <v>61</v>
      </c>
      <c r="H184" t="s">
        <v>67</v>
      </c>
      <c r="I184" t="s">
        <v>64</v>
      </c>
    </row>
    <row r="185" spans="1:9" x14ac:dyDescent="0.25">
      <c r="A185" s="1">
        <v>44238</v>
      </c>
      <c r="B185" t="s">
        <v>19</v>
      </c>
      <c r="C185" t="s">
        <v>26</v>
      </c>
      <c r="D185" s="3">
        <v>28884</v>
      </c>
      <c r="E185" s="3">
        <v>0</v>
      </c>
      <c r="F185" s="3">
        <v>951722</v>
      </c>
      <c r="G185" t="s">
        <v>62</v>
      </c>
      <c r="H185" t="s">
        <v>69</v>
      </c>
      <c r="I185" t="s">
        <v>12</v>
      </c>
    </row>
    <row r="186" spans="1:9" x14ac:dyDescent="0.25">
      <c r="A186" s="1">
        <v>44255</v>
      </c>
      <c r="B186" t="s">
        <v>13</v>
      </c>
      <c r="C186" t="s">
        <v>28</v>
      </c>
      <c r="D186" s="3">
        <v>0</v>
      </c>
      <c r="E186" s="3">
        <v>22498</v>
      </c>
      <c r="F186" s="3">
        <v>929224</v>
      </c>
      <c r="G186" t="s">
        <v>61</v>
      </c>
      <c r="H186" t="s">
        <v>68</v>
      </c>
      <c r="I186" t="s">
        <v>63</v>
      </c>
    </row>
    <row r="187" spans="1:9" x14ac:dyDescent="0.25">
      <c r="A187" s="1">
        <v>44272</v>
      </c>
      <c r="B187" t="s">
        <v>22</v>
      </c>
      <c r="C187" t="s">
        <v>26</v>
      </c>
      <c r="D187" s="3">
        <v>0</v>
      </c>
      <c r="E187" s="3">
        <v>0</v>
      </c>
      <c r="F187" s="3">
        <v>929224</v>
      </c>
      <c r="G187" t="s">
        <v>62</v>
      </c>
      <c r="H187" t="s">
        <v>65</v>
      </c>
      <c r="I187" t="s">
        <v>64</v>
      </c>
    </row>
    <row r="188" spans="1:9" x14ac:dyDescent="0.25">
      <c r="A188" s="1">
        <v>44289</v>
      </c>
      <c r="B188" t="s">
        <v>21</v>
      </c>
      <c r="C188" t="s">
        <v>26</v>
      </c>
      <c r="D188" s="3">
        <v>0</v>
      </c>
      <c r="E188" s="3">
        <v>7281</v>
      </c>
      <c r="F188" s="3">
        <v>921943</v>
      </c>
      <c r="G188" t="s">
        <v>58</v>
      </c>
      <c r="H188" t="s">
        <v>66</v>
      </c>
      <c r="I188" t="s">
        <v>12</v>
      </c>
    </row>
    <row r="189" spans="1:9" x14ac:dyDescent="0.25">
      <c r="A189" s="1">
        <v>44306</v>
      </c>
      <c r="B189" t="s">
        <v>17</v>
      </c>
      <c r="C189" t="s">
        <v>32</v>
      </c>
      <c r="D189" s="3">
        <v>0</v>
      </c>
      <c r="E189" s="3">
        <v>0</v>
      </c>
      <c r="F189" s="3">
        <v>921943</v>
      </c>
      <c r="G189" t="s">
        <v>59</v>
      </c>
      <c r="H189" t="s">
        <v>67</v>
      </c>
      <c r="I189" t="s">
        <v>63</v>
      </c>
    </row>
    <row r="190" spans="1:9" x14ac:dyDescent="0.25">
      <c r="A190" s="1">
        <v>44323</v>
      </c>
      <c r="B190" t="s">
        <v>9</v>
      </c>
      <c r="C190" t="s">
        <v>37</v>
      </c>
      <c r="D190" s="3">
        <v>0</v>
      </c>
      <c r="E190" s="3">
        <v>23413</v>
      </c>
      <c r="F190" s="3">
        <v>898530</v>
      </c>
      <c r="G190" t="s">
        <v>60</v>
      </c>
      <c r="H190" t="s">
        <v>69</v>
      </c>
      <c r="I190" t="s">
        <v>12</v>
      </c>
    </row>
    <row r="191" spans="1:9" x14ac:dyDescent="0.25">
      <c r="A191" s="1">
        <v>44340</v>
      </c>
      <c r="B191" t="s">
        <v>7</v>
      </c>
      <c r="C191" t="s">
        <v>42</v>
      </c>
      <c r="D191" s="3">
        <v>17652</v>
      </c>
      <c r="E191" s="3">
        <v>0</v>
      </c>
      <c r="F191" s="3">
        <v>916182</v>
      </c>
      <c r="G191" t="s">
        <v>61</v>
      </c>
      <c r="H191" t="s">
        <v>68</v>
      </c>
      <c r="I191" t="s">
        <v>63</v>
      </c>
    </row>
    <row r="192" spans="1:9" x14ac:dyDescent="0.25">
      <c r="A192" s="1">
        <v>44357</v>
      </c>
      <c r="B192" t="s">
        <v>20</v>
      </c>
      <c r="C192" t="s">
        <v>31</v>
      </c>
      <c r="D192" s="3">
        <v>35679</v>
      </c>
      <c r="E192" s="3">
        <v>20006</v>
      </c>
      <c r="F192" s="3">
        <v>931855</v>
      </c>
      <c r="G192" t="s">
        <v>62</v>
      </c>
      <c r="H192" t="s">
        <v>65</v>
      </c>
      <c r="I192" t="s">
        <v>64</v>
      </c>
    </row>
    <row r="193" spans="1:9" x14ac:dyDescent="0.25">
      <c r="A193" s="1">
        <v>44374</v>
      </c>
      <c r="B193" t="s">
        <v>16</v>
      </c>
      <c r="C193" t="s">
        <v>26</v>
      </c>
      <c r="D193" s="3">
        <v>0</v>
      </c>
      <c r="E193" s="3">
        <v>17841</v>
      </c>
      <c r="F193" s="3">
        <v>914014</v>
      </c>
      <c r="G193" t="s">
        <v>58</v>
      </c>
      <c r="H193" t="s">
        <v>66</v>
      </c>
      <c r="I193" t="s">
        <v>12</v>
      </c>
    </row>
    <row r="194" spans="1:9" x14ac:dyDescent="0.25">
      <c r="A194" s="1">
        <v>44391</v>
      </c>
      <c r="B194" t="s">
        <v>14</v>
      </c>
      <c r="C194" t="s">
        <v>25</v>
      </c>
      <c r="D194" s="3">
        <v>0</v>
      </c>
      <c r="E194" s="3">
        <v>2806</v>
      </c>
      <c r="F194" s="3">
        <v>911208</v>
      </c>
      <c r="G194" t="s">
        <v>59</v>
      </c>
      <c r="H194" t="s">
        <v>67</v>
      </c>
      <c r="I194" t="s">
        <v>63</v>
      </c>
    </row>
    <row r="195" spans="1:9" x14ac:dyDescent="0.25">
      <c r="A195" s="1">
        <v>44408</v>
      </c>
      <c r="B195" t="s">
        <v>17</v>
      </c>
      <c r="C195" t="s">
        <v>38</v>
      </c>
      <c r="D195" s="3">
        <v>0</v>
      </c>
      <c r="E195" s="3">
        <v>20583</v>
      </c>
      <c r="F195" s="3">
        <v>890625</v>
      </c>
      <c r="G195" t="s">
        <v>60</v>
      </c>
      <c r="H195" t="s">
        <v>69</v>
      </c>
      <c r="I195" t="s">
        <v>64</v>
      </c>
    </row>
    <row r="196" spans="1:9" x14ac:dyDescent="0.25">
      <c r="A196" s="1">
        <v>44425</v>
      </c>
      <c r="B196" t="s">
        <v>14</v>
      </c>
      <c r="C196" t="s">
        <v>32</v>
      </c>
      <c r="D196" s="3">
        <v>16609</v>
      </c>
      <c r="E196" s="3">
        <v>13698</v>
      </c>
      <c r="F196" s="3">
        <v>893536</v>
      </c>
      <c r="G196" t="s">
        <v>61</v>
      </c>
      <c r="H196" t="s">
        <v>68</v>
      </c>
      <c r="I196" t="s">
        <v>12</v>
      </c>
    </row>
    <row r="197" spans="1:9" x14ac:dyDescent="0.25">
      <c r="A197" s="1">
        <v>44442</v>
      </c>
      <c r="B197" t="s">
        <v>19</v>
      </c>
      <c r="C197" t="s">
        <v>33</v>
      </c>
      <c r="D197" s="3">
        <v>0</v>
      </c>
      <c r="E197" s="3">
        <v>0</v>
      </c>
      <c r="F197" s="3">
        <v>893536</v>
      </c>
      <c r="G197" t="s">
        <v>62</v>
      </c>
      <c r="H197" t="s">
        <v>65</v>
      </c>
      <c r="I197" t="s">
        <v>63</v>
      </c>
    </row>
    <row r="198" spans="1:9" x14ac:dyDescent="0.25">
      <c r="A198" s="1">
        <v>44459</v>
      </c>
      <c r="B198" t="s">
        <v>15</v>
      </c>
      <c r="C198" t="s">
        <v>39</v>
      </c>
      <c r="D198" s="3">
        <v>0</v>
      </c>
      <c r="E198" s="3">
        <v>0</v>
      </c>
      <c r="F198" s="3">
        <v>893536</v>
      </c>
      <c r="G198" t="s">
        <v>61</v>
      </c>
      <c r="H198" t="s">
        <v>66</v>
      </c>
      <c r="I198" t="s">
        <v>12</v>
      </c>
    </row>
    <row r="199" spans="1:9" x14ac:dyDescent="0.25">
      <c r="A199" s="1">
        <v>44476</v>
      </c>
      <c r="B199" t="s">
        <v>6</v>
      </c>
      <c r="C199" t="s">
        <v>24</v>
      </c>
      <c r="D199" s="3">
        <v>33695</v>
      </c>
      <c r="E199" s="3">
        <v>6293</v>
      </c>
      <c r="F199" s="3">
        <v>920938</v>
      </c>
      <c r="G199" t="s">
        <v>62</v>
      </c>
      <c r="H199" t="s">
        <v>67</v>
      </c>
      <c r="I199" t="s">
        <v>63</v>
      </c>
    </row>
    <row r="200" spans="1:9" x14ac:dyDescent="0.25">
      <c r="A200" s="1">
        <v>44493</v>
      </c>
      <c r="B200" t="s">
        <v>10</v>
      </c>
      <c r="C200" t="s">
        <v>26</v>
      </c>
      <c r="D200" s="3">
        <v>44057</v>
      </c>
      <c r="E200" s="3">
        <v>11120</v>
      </c>
      <c r="F200" s="3">
        <v>953875</v>
      </c>
      <c r="G200" t="s">
        <v>58</v>
      </c>
      <c r="H200" t="s">
        <v>69</v>
      </c>
      <c r="I200" t="s">
        <v>64</v>
      </c>
    </row>
    <row r="201" spans="1:9" x14ac:dyDescent="0.25">
      <c r="A201" s="1">
        <v>44510</v>
      </c>
      <c r="B201" t="s">
        <v>19</v>
      </c>
      <c r="C201" t="s">
        <v>28</v>
      </c>
      <c r="D201" s="3">
        <v>11435</v>
      </c>
      <c r="E201" s="3">
        <v>7042</v>
      </c>
      <c r="F201" s="3">
        <v>958268</v>
      </c>
      <c r="G201" t="s">
        <v>59</v>
      </c>
      <c r="H201" t="s">
        <v>68</v>
      </c>
      <c r="I201" t="s">
        <v>12</v>
      </c>
    </row>
    <row r="202" spans="1:9" x14ac:dyDescent="0.25">
      <c r="A202" s="1">
        <v>44527</v>
      </c>
      <c r="B202" t="s">
        <v>15</v>
      </c>
      <c r="C202" t="s">
        <v>33</v>
      </c>
      <c r="D202" s="3">
        <v>46436</v>
      </c>
      <c r="E202" s="3">
        <v>0</v>
      </c>
      <c r="F202" s="3">
        <v>1004704</v>
      </c>
      <c r="G202" t="s">
        <v>60</v>
      </c>
      <c r="H202" t="s">
        <v>65</v>
      </c>
      <c r="I202" t="s">
        <v>63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F1755-D0F3-4846-9F99-3E85D6847AC5}">
  <dimension ref="A3:K27"/>
  <sheetViews>
    <sheetView workbookViewId="0">
      <selection activeCell="P40" sqref="P40"/>
    </sheetView>
  </sheetViews>
  <sheetFormatPr defaultRowHeight="15" x14ac:dyDescent="0.25"/>
  <cols>
    <col min="1" max="1" width="13.140625" bestFit="1" customWidth="1"/>
    <col min="2" max="2" width="14.28515625" bestFit="1" customWidth="1"/>
    <col min="3" max="3" width="15.140625" bestFit="1" customWidth="1"/>
    <col min="4" max="4" width="13.140625" bestFit="1" customWidth="1"/>
    <col min="5" max="5" width="15.140625" bestFit="1" customWidth="1"/>
    <col min="7" max="7" width="16.28515625" bestFit="1" customWidth="1"/>
    <col min="8" max="8" width="15.140625" bestFit="1" customWidth="1"/>
    <col min="10" max="10" width="25.140625" bestFit="1" customWidth="1"/>
    <col min="11" max="11" width="15.140625" bestFit="1" customWidth="1"/>
  </cols>
  <sheetData>
    <row r="3" spans="1:11" x14ac:dyDescent="0.25">
      <c r="A3" s="4" t="s">
        <v>44</v>
      </c>
      <c r="B3" s="3" t="s">
        <v>47</v>
      </c>
      <c r="D3" s="4" t="s">
        <v>44</v>
      </c>
      <c r="E3" t="s">
        <v>46</v>
      </c>
      <c r="G3" s="4" t="s">
        <v>44</v>
      </c>
      <c r="H3" t="s">
        <v>46</v>
      </c>
      <c r="J3" s="4" t="s">
        <v>44</v>
      </c>
      <c r="K3" t="s">
        <v>46</v>
      </c>
    </row>
    <row r="4" spans="1:11" x14ac:dyDescent="0.25">
      <c r="A4" s="2" t="s">
        <v>48</v>
      </c>
      <c r="B4" s="3">
        <v>305333</v>
      </c>
      <c r="D4" s="2" t="s">
        <v>48</v>
      </c>
      <c r="E4" s="3">
        <v>106324</v>
      </c>
      <c r="G4" s="2" t="s">
        <v>10</v>
      </c>
      <c r="H4" s="3">
        <v>122932</v>
      </c>
      <c r="J4" s="2" t="s">
        <v>32</v>
      </c>
      <c r="K4" s="3">
        <v>151690</v>
      </c>
    </row>
    <row r="5" spans="1:11" x14ac:dyDescent="0.25">
      <c r="A5" s="2" t="s">
        <v>49</v>
      </c>
      <c r="B5" s="3">
        <v>100960</v>
      </c>
      <c r="D5" s="2" t="s">
        <v>49</v>
      </c>
      <c r="E5" s="3">
        <v>194337</v>
      </c>
      <c r="G5" s="2" t="s">
        <v>11</v>
      </c>
      <c r="H5" s="3">
        <v>0</v>
      </c>
      <c r="J5" s="2" t="s">
        <v>29</v>
      </c>
      <c r="K5" s="3">
        <v>55636</v>
      </c>
    </row>
    <row r="6" spans="1:11" x14ac:dyDescent="0.25">
      <c r="A6" s="2" t="s">
        <v>50</v>
      </c>
      <c r="B6" s="3">
        <v>149056</v>
      </c>
      <c r="D6" s="2" t="s">
        <v>50</v>
      </c>
      <c r="E6" s="3">
        <v>180915</v>
      </c>
      <c r="G6" s="2" t="s">
        <v>15</v>
      </c>
      <c r="H6" s="3">
        <v>84140</v>
      </c>
      <c r="J6" s="2" t="s">
        <v>34</v>
      </c>
      <c r="K6" s="3">
        <v>73215</v>
      </c>
    </row>
    <row r="7" spans="1:11" x14ac:dyDescent="0.25">
      <c r="A7" s="2" t="s">
        <v>51</v>
      </c>
      <c r="B7" s="3">
        <v>386029</v>
      </c>
      <c r="D7" s="2" t="s">
        <v>51</v>
      </c>
      <c r="E7" s="3">
        <v>125185</v>
      </c>
      <c r="G7" s="2" t="s">
        <v>9</v>
      </c>
      <c r="H7" s="3">
        <v>145065</v>
      </c>
      <c r="J7" s="2" t="s">
        <v>39</v>
      </c>
      <c r="K7" s="3">
        <v>48395</v>
      </c>
    </row>
    <row r="8" spans="1:11" x14ac:dyDescent="0.25">
      <c r="A8" s="2" t="s">
        <v>52</v>
      </c>
      <c r="B8" s="3">
        <v>296498</v>
      </c>
      <c r="D8" s="2" t="s">
        <v>52</v>
      </c>
      <c r="E8" s="3">
        <v>239478</v>
      </c>
      <c r="G8" s="2" t="s">
        <v>23</v>
      </c>
      <c r="H8" s="3">
        <v>24173</v>
      </c>
      <c r="J8" s="2" t="s">
        <v>41</v>
      </c>
      <c r="K8" s="3">
        <v>8309</v>
      </c>
    </row>
    <row r="9" spans="1:11" x14ac:dyDescent="0.25">
      <c r="A9" s="2" t="s">
        <v>53</v>
      </c>
      <c r="B9" s="3">
        <v>216511</v>
      </c>
      <c r="D9" s="2" t="s">
        <v>53</v>
      </c>
      <c r="E9" s="3">
        <v>174042</v>
      </c>
      <c r="G9" s="2" t="s">
        <v>17</v>
      </c>
      <c r="H9" s="3">
        <v>79693</v>
      </c>
      <c r="J9" s="2" t="s">
        <v>42</v>
      </c>
      <c r="K9" s="3">
        <v>32721</v>
      </c>
    </row>
    <row r="10" spans="1:11" x14ac:dyDescent="0.25">
      <c r="A10" s="2" t="s">
        <v>54</v>
      </c>
      <c r="B10" s="3">
        <v>287459</v>
      </c>
      <c r="D10" s="2" t="s">
        <v>54</v>
      </c>
      <c r="E10" s="3">
        <v>126454</v>
      </c>
      <c r="G10" s="2" t="s">
        <v>6</v>
      </c>
      <c r="H10" s="3">
        <v>184135</v>
      </c>
      <c r="J10" s="2" t="s">
        <v>31</v>
      </c>
      <c r="K10" s="3">
        <v>57105</v>
      </c>
    </row>
    <row r="11" spans="1:11" x14ac:dyDescent="0.25">
      <c r="A11" s="2" t="s">
        <v>70</v>
      </c>
      <c r="B11" s="3">
        <v>80413</v>
      </c>
      <c r="D11" s="2" t="s">
        <v>70</v>
      </c>
      <c r="E11" s="3">
        <v>64019</v>
      </c>
      <c r="G11" s="2" t="s">
        <v>13</v>
      </c>
      <c r="H11" s="3">
        <v>133067</v>
      </c>
      <c r="J11" s="2" t="s">
        <v>33</v>
      </c>
      <c r="K11" s="3">
        <v>75649</v>
      </c>
    </row>
    <row r="12" spans="1:11" x14ac:dyDescent="0.25">
      <c r="A12" s="2" t="s">
        <v>71</v>
      </c>
      <c r="B12" s="3">
        <v>126872</v>
      </c>
      <c r="D12" s="2" t="s">
        <v>71</v>
      </c>
      <c r="E12" s="3">
        <v>43733</v>
      </c>
      <c r="G12" s="2" t="s">
        <v>20</v>
      </c>
      <c r="H12" s="3">
        <v>137669</v>
      </c>
      <c r="J12" s="2" t="s">
        <v>40</v>
      </c>
      <c r="K12" s="3">
        <v>23002</v>
      </c>
    </row>
    <row r="13" spans="1:11" x14ac:dyDescent="0.25">
      <c r="A13" s="2" t="s">
        <v>72</v>
      </c>
      <c r="B13" s="3">
        <v>209310</v>
      </c>
      <c r="D13" s="2" t="s">
        <v>72</v>
      </c>
      <c r="E13" s="3">
        <v>63893</v>
      </c>
      <c r="G13" s="2" t="s">
        <v>12</v>
      </c>
      <c r="H13" s="3">
        <v>0</v>
      </c>
      <c r="J13" s="2" t="s">
        <v>30</v>
      </c>
      <c r="K13" s="3">
        <v>21215</v>
      </c>
    </row>
    <row r="14" spans="1:11" x14ac:dyDescent="0.25">
      <c r="A14" s="2" t="s">
        <v>73</v>
      </c>
      <c r="B14" s="3">
        <v>202105</v>
      </c>
      <c r="D14" s="2" t="s">
        <v>73</v>
      </c>
      <c r="E14" s="3">
        <v>57297</v>
      </c>
      <c r="G14" s="2" t="s">
        <v>7</v>
      </c>
      <c r="H14" s="3">
        <v>48123</v>
      </c>
      <c r="J14" s="2" t="s">
        <v>26</v>
      </c>
      <c r="K14" s="3">
        <v>246683</v>
      </c>
    </row>
    <row r="15" spans="1:11" x14ac:dyDescent="0.25">
      <c r="A15" s="2" t="s">
        <v>74</v>
      </c>
      <c r="B15" s="3">
        <v>96923</v>
      </c>
      <c r="D15" s="2" t="s">
        <v>74</v>
      </c>
      <c r="E15" s="3">
        <v>77082</v>
      </c>
      <c r="G15" s="2" t="s">
        <v>21</v>
      </c>
      <c r="H15" s="3">
        <v>54322</v>
      </c>
      <c r="J15" s="2" t="s">
        <v>24</v>
      </c>
      <c r="K15" s="3">
        <v>82852</v>
      </c>
    </row>
    <row r="16" spans="1:11" x14ac:dyDescent="0.25">
      <c r="A16" s="2" t="s">
        <v>45</v>
      </c>
      <c r="B16" s="3">
        <v>2457469</v>
      </c>
      <c r="D16" s="2" t="s">
        <v>45</v>
      </c>
      <c r="E16" s="3">
        <v>1452759</v>
      </c>
      <c r="G16" s="2" t="s">
        <v>22</v>
      </c>
      <c r="H16" s="3">
        <v>46732</v>
      </c>
      <c r="J16" s="2" t="s">
        <v>28</v>
      </c>
      <c r="K16" s="3">
        <v>129265</v>
      </c>
    </row>
    <row r="17" spans="1:11" x14ac:dyDescent="0.25">
      <c r="G17" s="2" t="s">
        <v>19</v>
      </c>
      <c r="H17" s="3">
        <v>83473</v>
      </c>
      <c r="J17" s="2" t="s">
        <v>25</v>
      </c>
      <c r="K17" s="3">
        <v>130362</v>
      </c>
    </row>
    <row r="18" spans="1:11" x14ac:dyDescent="0.25">
      <c r="G18" s="2" t="s">
        <v>8</v>
      </c>
      <c r="H18" s="3">
        <v>70727</v>
      </c>
      <c r="J18" s="2" t="s">
        <v>36</v>
      </c>
      <c r="K18" s="3">
        <v>10623</v>
      </c>
    </row>
    <row r="19" spans="1:11" x14ac:dyDescent="0.25">
      <c r="G19" s="2" t="s">
        <v>16</v>
      </c>
      <c r="H19" s="3">
        <v>61678</v>
      </c>
      <c r="J19" s="2" t="s">
        <v>27</v>
      </c>
      <c r="K19" s="3">
        <v>29713</v>
      </c>
    </row>
    <row r="20" spans="1:11" x14ac:dyDescent="0.25">
      <c r="G20" s="2" t="s">
        <v>14</v>
      </c>
      <c r="H20" s="3">
        <v>155176</v>
      </c>
      <c r="J20" s="2" t="s">
        <v>37</v>
      </c>
      <c r="K20" s="3">
        <v>77294</v>
      </c>
    </row>
    <row r="21" spans="1:11" x14ac:dyDescent="0.25">
      <c r="A21" s="4" t="s">
        <v>44</v>
      </c>
      <c r="B21" t="s">
        <v>46</v>
      </c>
      <c r="G21" s="2" t="s">
        <v>18</v>
      </c>
      <c r="H21" s="3">
        <v>21654</v>
      </c>
      <c r="J21" s="2" t="s">
        <v>38</v>
      </c>
      <c r="K21" s="3">
        <v>116082</v>
      </c>
    </row>
    <row r="22" spans="1:11" x14ac:dyDescent="0.25">
      <c r="A22" s="2" t="s">
        <v>58</v>
      </c>
      <c r="B22" s="3">
        <v>370221</v>
      </c>
      <c r="G22" s="2" t="s">
        <v>45</v>
      </c>
      <c r="H22" s="3">
        <v>1452759</v>
      </c>
      <c r="J22" s="2" t="s">
        <v>35</v>
      </c>
      <c r="K22" s="3">
        <v>71991</v>
      </c>
    </row>
    <row r="23" spans="1:11" x14ac:dyDescent="0.25">
      <c r="A23" s="2" t="s">
        <v>61</v>
      </c>
      <c r="B23" s="3">
        <v>354322</v>
      </c>
      <c r="J23" s="2" t="s">
        <v>43</v>
      </c>
      <c r="K23" s="3">
        <v>10957</v>
      </c>
    </row>
    <row r="24" spans="1:11" x14ac:dyDescent="0.25">
      <c r="A24" s="2" t="s">
        <v>60</v>
      </c>
      <c r="B24" s="3">
        <v>246624</v>
      </c>
      <c r="J24" s="2" t="s">
        <v>45</v>
      </c>
      <c r="K24" s="3">
        <v>1452759</v>
      </c>
    </row>
    <row r="25" spans="1:11" x14ac:dyDescent="0.25">
      <c r="A25" s="2" t="s">
        <v>62</v>
      </c>
      <c r="B25" s="3">
        <v>288649</v>
      </c>
    </row>
    <row r="26" spans="1:11" x14ac:dyDescent="0.25">
      <c r="A26" s="2" t="s">
        <v>59</v>
      </c>
      <c r="B26" s="3">
        <v>192943</v>
      </c>
    </row>
    <row r="27" spans="1:11" x14ac:dyDescent="0.25">
      <c r="A27" s="2" t="s">
        <v>45</v>
      </c>
      <c r="B27" s="3">
        <v>1452759</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F344D-E78C-474A-A298-514D2341A702}">
  <dimension ref="A1"/>
  <sheetViews>
    <sheetView showGridLines="0" tabSelected="1" workbookViewId="0">
      <selection activeCell="E2" sqref="E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Finance Data</vt:lpstr>
      <vt:lpstr>Pivot Table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Vishwajeet Sharma</cp:lastModifiedBy>
  <dcterms:created xsi:type="dcterms:W3CDTF">2025-08-17T14:41:33Z</dcterms:created>
  <dcterms:modified xsi:type="dcterms:W3CDTF">2026-02-04T14:52:50Z</dcterms:modified>
</cp:coreProperties>
</file>